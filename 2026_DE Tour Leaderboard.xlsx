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ansportcloud-my.sharepoint.com/personal/mitchell_thompson_transport_nsw_gov_au/Documents/Microsoft Teams Chat Files/"/>
    </mc:Choice>
  </mc:AlternateContent>
  <xr:revisionPtr revIDLastSave="947" documentId="8_{4364E624-E55B-44DE-AD95-034CA76FCC66}" xr6:coauthVersionLast="47" xr6:coauthVersionMax="47" xr10:uidLastSave="{465F96FD-AD18-4084-A57C-BC6A81D6C3D2}"/>
  <bookViews>
    <workbookView xWindow="-110" yWindow="-110" windowWidth="38620" windowHeight="21100" tabRatio="897" firstSheet="16" activeTab="16" xr2:uid="{3274A68F-BDB3-4B22-9043-BEDC974EE955}"/>
  </bookViews>
  <sheets>
    <sheet name="Events &amp; Leaderboard" sheetId="3" r:id="rId1"/>
    <sheet name="Mitch" sheetId="4" r:id="rId2"/>
    <sheet name="Colby" sheetId="6" r:id="rId3"/>
    <sheet name="Scott" sheetId="7" r:id="rId4"/>
    <sheet name="Dave" sheetId="5" r:id="rId5"/>
    <sheet name="Jan - Magenta" sheetId="1" r:id="rId6"/>
    <sheet name="Feb - Toronto" sheetId="8" r:id="rId7"/>
    <sheet name="Mar - Shortland" sheetId="10" r:id="rId8"/>
    <sheet name="Apr - Waratah" sheetId="11" r:id="rId9"/>
    <sheet name="May - TBC" sheetId="14" r:id="rId10"/>
    <sheet name="Jun - TBC" sheetId="15" r:id="rId11"/>
    <sheet name="July - TBC" sheetId="16" r:id="rId12"/>
    <sheet name="August - TBC" sheetId="17" r:id="rId13"/>
    <sheet name="Sept - TBC" sheetId="18" r:id="rId14"/>
    <sheet name="Oct - TBC" sheetId="19" r:id="rId15"/>
    <sheet name="Nov - TBC" sheetId="21" r:id="rId16"/>
    <sheet name="Dec - TBC" sheetId="22" r:id="rId17"/>
  </sheets>
  <definedNames>
    <definedName name="GradeTable">#REF!</definedName>
    <definedName name="RowTitleRegion1..U6">#REF!</definedName>
    <definedName name="RowTitleRegion2..X9">#REF!</definedName>
    <definedName name="RowTitleRegion3..H12">#REF!</definedName>
    <definedName name="Title1">#REF!</definedName>
    <definedName name="TitleRegion1..G24.1">#REF!</definedName>
    <definedName name="TotalPoint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4" l="1"/>
  <c r="K5" i="3"/>
  <c r="K6" i="3"/>
  <c r="K7" i="3"/>
  <c r="K4" i="3"/>
  <c r="J4" i="3"/>
  <c r="J5" i="3"/>
  <c r="J7" i="3"/>
  <c r="J6" i="3"/>
  <c r="V17" i="22"/>
  <c r="U17" i="22"/>
  <c r="T17" i="22"/>
  <c r="S17" i="22"/>
  <c r="R17" i="22"/>
  <c r="Q17" i="22"/>
  <c r="P17" i="22"/>
  <c r="O17" i="22"/>
  <c r="N17" i="22"/>
  <c r="L17" i="22"/>
  <c r="K17" i="22"/>
  <c r="J17" i="22"/>
  <c r="I17" i="22"/>
  <c r="H17" i="22"/>
  <c r="G17" i="22"/>
  <c r="F17" i="22"/>
  <c r="E17" i="22"/>
  <c r="D17" i="22"/>
  <c r="W16" i="22"/>
  <c r="M16" i="22"/>
  <c r="V15" i="22"/>
  <c r="U15" i="22"/>
  <c r="T15" i="22"/>
  <c r="S15" i="22"/>
  <c r="R15" i="22"/>
  <c r="Q15" i="22"/>
  <c r="P15" i="22"/>
  <c r="O15" i="22"/>
  <c r="N15" i="22"/>
  <c r="L15" i="22"/>
  <c r="K15" i="22"/>
  <c r="J15" i="22"/>
  <c r="I15" i="22"/>
  <c r="H15" i="22"/>
  <c r="G15" i="22"/>
  <c r="F15" i="22"/>
  <c r="E15" i="22"/>
  <c r="D15" i="22"/>
  <c r="W14" i="22"/>
  <c r="M14" i="22"/>
  <c r="V13" i="22"/>
  <c r="U13" i="22"/>
  <c r="T13" i="22"/>
  <c r="S13" i="22"/>
  <c r="R13" i="22"/>
  <c r="Q13" i="22"/>
  <c r="P13" i="22"/>
  <c r="O13" i="22"/>
  <c r="N13" i="22"/>
  <c r="L13" i="22"/>
  <c r="K13" i="22"/>
  <c r="J13" i="22"/>
  <c r="I13" i="22"/>
  <c r="H13" i="22"/>
  <c r="G13" i="22"/>
  <c r="F13" i="22"/>
  <c r="E13" i="22"/>
  <c r="D13" i="22"/>
  <c r="W12" i="22"/>
  <c r="M12" i="22"/>
  <c r="V11" i="22"/>
  <c r="U11" i="22"/>
  <c r="T11" i="22"/>
  <c r="S11" i="22"/>
  <c r="R11" i="22"/>
  <c r="Q11" i="22"/>
  <c r="P11" i="22"/>
  <c r="O11" i="22"/>
  <c r="N11" i="22"/>
  <c r="L11" i="22"/>
  <c r="K11" i="22"/>
  <c r="J11" i="22"/>
  <c r="I11" i="22"/>
  <c r="H11" i="22"/>
  <c r="G11" i="22"/>
  <c r="F11" i="22"/>
  <c r="E11" i="22"/>
  <c r="D11" i="22"/>
  <c r="W10" i="22"/>
  <c r="M10" i="22"/>
  <c r="W7" i="22"/>
  <c r="M7" i="22"/>
  <c r="V17" i="21"/>
  <c r="U17" i="21"/>
  <c r="T17" i="21"/>
  <c r="S17" i="21"/>
  <c r="R17" i="21"/>
  <c r="Q17" i="21"/>
  <c r="P17" i="21"/>
  <c r="O17" i="21"/>
  <c r="N17" i="21"/>
  <c r="L17" i="21"/>
  <c r="K17" i="21"/>
  <c r="J17" i="21"/>
  <c r="I17" i="21"/>
  <c r="H17" i="21"/>
  <c r="G17" i="21"/>
  <c r="F17" i="21"/>
  <c r="E17" i="21"/>
  <c r="D17" i="21"/>
  <c r="W16" i="21"/>
  <c r="M16" i="21"/>
  <c r="V15" i="21"/>
  <c r="U15" i="21"/>
  <c r="T15" i="21"/>
  <c r="S15" i="21"/>
  <c r="R15" i="21"/>
  <c r="Q15" i="21"/>
  <c r="P15" i="21"/>
  <c r="O15" i="21"/>
  <c r="N15" i="21"/>
  <c r="L15" i="21"/>
  <c r="K15" i="21"/>
  <c r="J15" i="21"/>
  <c r="I15" i="21"/>
  <c r="H15" i="21"/>
  <c r="G15" i="21"/>
  <c r="F15" i="21"/>
  <c r="E15" i="21"/>
  <c r="D15" i="21"/>
  <c r="W14" i="21"/>
  <c r="M14" i="21"/>
  <c r="V13" i="21"/>
  <c r="U13" i="21"/>
  <c r="T13" i="21"/>
  <c r="S13" i="21"/>
  <c r="R13" i="21"/>
  <c r="Q13" i="21"/>
  <c r="P13" i="21"/>
  <c r="O13" i="21"/>
  <c r="N13" i="21"/>
  <c r="L13" i="21"/>
  <c r="K13" i="21"/>
  <c r="J13" i="21"/>
  <c r="I13" i="21"/>
  <c r="H13" i="21"/>
  <c r="G13" i="21"/>
  <c r="F13" i="21"/>
  <c r="E13" i="21"/>
  <c r="D13" i="21"/>
  <c r="W12" i="21"/>
  <c r="M12" i="21"/>
  <c r="V11" i="21"/>
  <c r="U11" i="21"/>
  <c r="T11" i="21"/>
  <c r="S11" i="21"/>
  <c r="R11" i="21"/>
  <c r="Q11" i="21"/>
  <c r="P11" i="21"/>
  <c r="O11" i="21"/>
  <c r="N11" i="21"/>
  <c r="L11" i="21"/>
  <c r="K11" i="21"/>
  <c r="J11" i="21"/>
  <c r="I11" i="21"/>
  <c r="H11" i="21"/>
  <c r="G11" i="21"/>
  <c r="F11" i="21"/>
  <c r="E11" i="21"/>
  <c r="D11" i="21"/>
  <c r="W10" i="21"/>
  <c r="M10" i="21"/>
  <c r="W7" i="21"/>
  <c r="M7" i="21"/>
  <c r="V17" i="19"/>
  <c r="U17" i="19"/>
  <c r="T17" i="19"/>
  <c r="S17" i="19"/>
  <c r="R17" i="19"/>
  <c r="Q17" i="19"/>
  <c r="P17" i="19"/>
  <c r="O17" i="19"/>
  <c r="N17" i="19"/>
  <c r="L17" i="19"/>
  <c r="K17" i="19"/>
  <c r="J17" i="19"/>
  <c r="I17" i="19"/>
  <c r="H17" i="19"/>
  <c r="G17" i="19"/>
  <c r="F17" i="19"/>
  <c r="E17" i="19"/>
  <c r="D17" i="19"/>
  <c r="W16" i="19"/>
  <c r="M16" i="19"/>
  <c r="V15" i="19"/>
  <c r="U15" i="19"/>
  <c r="T15" i="19"/>
  <c r="S15" i="19"/>
  <c r="R15" i="19"/>
  <c r="Q15" i="19"/>
  <c r="P15" i="19"/>
  <c r="O15" i="19"/>
  <c r="N15" i="19"/>
  <c r="L15" i="19"/>
  <c r="K15" i="19"/>
  <c r="J15" i="19"/>
  <c r="I15" i="19"/>
  <c r="H15" i="19"/>
  <c r="G15" i="19"/>
  <c r="F15" i="19"/>
  <c r="E15" i="19"/>
  <c r="D15" i="19"/>
  <c r="W14" i="19"/>
  <c r="M14" i="19"/>
  <c r="V13" i="19"/>
  <c r="U13" i="19"/>
  <c r="T13" i="19"/>
  <c r="S13" i="19"/>
  <c r="R13" i="19"/>
  <c r="Q13" i="19"/>
  <c r="P13" i="19"/>
  <c r="O13" i="19"/>
  <c r="N13" i="19"/>
  <c r="L13" i="19"/>
  <c r="K13" i="19"/>
  <c r="J13" i="19"/>
  <c r="I13" i="19"/>
  <c r="H13" i="19"/>
  <c r="G13" i="19"/>
  <c r="F13" i="19"/>
  <c r="E13" i="19"/>
  <c r="D13" i="19"/>
  <c r="W12" i="19"/>
  <c r="M12" i="19"/>
  <c r="V11" i="19"/>
  <c r="U11" i="19"/>
  <c r="T11" i="19"/>
  <c r="S11" i="19"/>
  <c r="R11" i="19"/>
  <c r="Q11" i="19"/>
  <c r="P11" i="19"/>
  <c r="O11" i="19"/>
  <c r="N11" i="19"/>
  <c r="L11" i="19"/>
  <c r="K11" i="19"/>
  <c r="J11" i="19"/>
  <c r="I11" i="19"/>
  <c r="H11" i="19"/>
  <c r="G11" i="19"/>
  <c r="F11" i="19"/>
  <c r="E11" i="19"/>
  <c r="D11" i="19"/>
  <c r="W10" i="19"/>
  <c r="M10" i="19"/>
  <c r="W7" i="19"/>
  <c r="M7" i="19"/>
  <c r="V17" i="18"/>
  <c r="U17" i="18"/>
  <c r="T17" i="18"/>
  <c r="S17" i="18"/>
  <c r="R17" i="18"/>
  <c r="Q17" i="18"/>
  <c r="P17" i="18"/>
  <c r="O17" i="18"/>
  <c r="N17" i="18"/>
  <c r="L17" i="18"/>
  <c r="K17" i="18"/>
  <c r="J17" i="18"/>
  <c r="I17" i="18"/>
  <c r="H17" i="18"/>
  <c r="G17" i="18"/>
  <c r="F17" i="18"/>
  <c r="E17" i="18"/>
  <c r="D17" i="18"/>
  <c r="W16" i="18"/>
  <c r="M16" i="18"/>
  <c r="V15" i="18"/>
  <c r="U15" i="18"/>
  <c r="T15" i="18"/>
  <c r="S15" i="18"/>
  <c r="R15" i="18"/>
  <c r="Q15" i="18"/>
  <c r="P15" i="18"/>
  <c r="O15" i="18"/>
  <c r="N15" i="18"/>
  <c r="L15" i="18"/>
  <c r="K15" i="18"/>
  <c r="J15" i="18"/>
  <c r="I15" i="18"/>
  <c r="H15" i="18"/>
  <c r="G15" i="18"/>
  <c r="F15" i="18"/>
  <c r="E15" i="18"/>
  <c r="D15" i="18"/>
  <c r="W14" i="18"/>
  <c r="M14" i="18"/>
  <c r="V13" i="18"/>
  <c r="U13" i="18"/>
  <c r="T13" i="18"/>
  <c r="S13" i="18"/>
  <c r="R13" i="18"/>
  <c r="Q13" i="18"/>
  <c r="P13" i="18"/>
  <c r="O13" i="18"/>
  <c r="N13" i="18"/>
  <c r="L13" i="18"/>
  <c r="K13" i="18"/>
  <c r="J13" i="18"/>
  <c r="I13" i="18"/>
  <c r="H13" i="18"/>
  <c r="G13" i="18"/>
  <c r="F13" i="18"/>
  <c r="E13" i="18"/>
  <c r="D13" i="18"/>
  <c r="W12" i="18"/>
  <c r="M12" i="18"/>
  <c r="X12" i="18" s="1"/>
  <c r="Z12" i="18" s="1"/>
  <c r="Z13" i="18" s="1" a="1"/>
  <c r="Z13" i="18" s="1"/>
  <c r="V11" i="18"/>
  <c r="U11" i="18"/>
  <c r="T11" i="18"/>
  <c r="S11" i="18"/>
  <c r="R11" i="18"/>
  <c r="Q11" i="18"/>
  <c r="P11" i="18"/>
  <c r="O11" i="18"/>
  <c r="N11" i="18"/>
  <c r="L11" i="18"/>
  <c r="K11" i="18"/>
  <c r="J11" i="18"/>
  <c r="I11" i="18"/>
  <c r="H11" i="18"/>
  <c r="G11" i="18"/>
  <c r="F11" i="18"/>
  <c r="E11" i="18"/>
  <c r="D11" i="18"/>
  <c r="W10" i="18"/>
  <c r="M10" i="18"/>
  <c r="W7" i="18"/>
  <c r="M7" i="18"/>
  <c r="V17" i="17"/>
  <c r="U17" i="17"/>
  <c r="T17" i="17"/>
  <c r="S17" i="17"/>
  <c r="R17" i="17"/>
  <c r="Q17" i="17"/>
  <c r="P17" i="17"/>
  <c r="O17" i="17"/>
  <c r="N17" i="17"/>
  <c r="L17" i="17"/>
  <c r="K17" i="17"/>
  <c r="J17" i="17"/>
  <c r="I17" i="17"/>
  <c r="H17" i="17"/>
  <c r="G17" i="17"/>
  <c r="F17" i="17"/>
  <c r="E17" i="17"/>
  <c r="D17" i="17"/>
  <c r="W16" i="17"/>
  <c r="M16" i="17"/>
  <c r="V15" i="17"/>
  <c r="U15" i="17"/>
  <c r="T15" i="17"/>
  <c r="S15" i="17"/>
  <c r="R15" i="17"/>
  <c r="Q15" i="17"/>
  <c r="P15" i="17"/>
  <c r="O15" i="17"/>
  <c r="N15" i="17"/>
  <c r="L15" i="17"/>
  <c r="K15" i="17"/>
  <c r="J15" i="17"/>
  <c r="I15" i="17"/>
  <c r="H15" i="17"/>
  <c r="G15" i="17"/>
  <c r="F15" i="17"/>
  <c r="E15" i="17"/>
  <c r="D15" i="17"/>
  <c r="W14" i="17"/>
  <c r="M14" i="17"/>
  <c r="V13" i="17"/>
  <c r="U13" i="17"/>
  <c r="T13" i="17"/>
  <c r="S13" i="17"/>
  <c r="R13" i="17"/>
  <c r="Q13" i="17"/>
  <c r="P13" i="17"/>
  <c r="O13" i="17"/>
  <c r="N13" i="17"/>
  <c r="L13" i="17"/>
  <c r="K13" i="17"/>
  <c r="J13" i="17"/>
  <c r="I13" i="17"/>
  <c r="H13" i="17"/>
  <c r="G13" i="17"/>
  <c r="F13" i="17"/>
  <c r="E13" i="17"/>
  <c r="D13" i="17"/>
  <c r="W12" i="17"/>
  <c r="M12" i="17"/>
  <c r="V11" i="17"/>
  <c r="U11" i="17"/>
  <c r="T11" i="17"/>
  <c r="S11" i="17"/>
  <c r="R11" i="17"/>
  <c r="Q11" i="17"/>
  <c r="P11" i="17"/>
  <c r="O11" i="17"/>
  <c r="N11" i="17"/>
  <c r="L11" i="17"/>
  <c r="K11" i="17"/>
  <c r="J11" i="17"/>
  <c r="I11" i="17"/>
  <c r="H11" i="17"/>
  <c r="G11" i="17"/>
  <c r="F11" i="17"/>
  <c r="E11" i="17"/>
  <c r="D11" i="17"/>
  <c r="W10" i="17"/>
  <c r="M10" i="17"/>
  <c r="W7" i="17"/>
  <c r="M7" i="17"/>
  <c r="V17" i="16"/>
  <c r="U17" i="16"/>
  <c r="T17" i="16"/>
  <c r="S17" i="16"/>
  <c r="R17" i="16"/>
  <c r="Q17" i="16"/>
  <c r="P17" i="16"/>
  <c r="O17" i="16"/>
  <c r="N17" i="16"/>
  <c r="L17" i="16"/>
  <c r="K17" i="16"/>
  <c r="J17" i="16"/>
  <c r="I17" i="16"/>
  <c r="H17" i="16"/>
  <c r="G17" i="16"/>
  <c r="F17" i="16"/>
  <c r="E17" i="16"/>
  <c r="D17" i="16"/>
  <c r="W16" i="16"/>
  <c r="M16" i="16"/>
  <c r="V15" i="16"/>
  <c r="U15" i="16"/>
  <c r="T15" i="16"/>
  <c r="S15" i="16"/>
  <c r="R15" i="16"/>
  <c r="Q15" i="16"/>
  <c r="P15" i="16"/>
  <c r="O15" i="16"/>
  <c r="N15" i="16"/>
  <c r="L15" i="16"/>
  <c r="K15" i="16"/>
  <c r="J15" i="16"/>
  <c r="I15" i="16"/>
  <c r="H15" i="16"/>
  <c r="G15" i="16"/>
  <c r="F15" i="16"/>
  <c r="E15" i="16"/>
  <c r="D15" i="16"/>
  <c r="W14" i="16"/>
  <c r="M14" i="16"/>
  <c r="X14" i="16" s="1"/>
  <c r="Z14" i="16" s="1"/>
  <c r="Z15" i="16" s="1" a="1"/>
  <c r="Z15" i="16" s="1"/>
  <c r="V13" i="16"/>
  <c r="U13" i="16"/>
  <c r="T13" i="16"/>
  <c r="S13" i="16"/>
  <c r="R13" i="16"/>
  <c r="Q13" i="16"/>
  <c r="P13" i="16"/>
  <c r="O13" i="16"/>
  <c r="N13" i="16"/>
  <c r="L13" i="16"/>
  <c r="K13" i="16"/>
  <c r="J13" i="16"/>
  <c r="I13" i="16"/>
  <c r="H13" i="16"/>
  <c r="G13" i="16"/>
  <c r="F13" i="16"/>
  <c r="E13" i="16"/>
  <c r="D13" i="16"/>
  <c r="W12" i="16"/>
  <c r="M12" i="16"/>
  <c r="V11" i="16"/>
  <c r="U11" i="16"/>
  <c r="T11" i="16"/>
  <c r="S11" i="16"/>
  <c r="R11" i="16"/>
  <c r="Q11" i="16"/>
  <c r="P11" i="16"/>
  <c r="O11" i="16"/>
  <c r="N11" i="16"/>
  <c r="L11" i="16"/>
  <c r="K11" i="16"/>
  <c r="J11" i="16"/>
  <c r="I11" i="16"/>
  <c r="H11" i="16"/>
  <c r="G11" i="16"/>
  <c r="F11" i="16"/>
  <c r="E11" i="16"/>
  <c r="D11" i="16"/>
  <c r="W10" i="16"/>
  <c r="M10" i="16"/>
  <c r="W7" i="16"/>
  <c r="M7" i="16"/>
  <c r="V17" i="15"/>
  <c r="U17" i="15"/>
  <c r="T17" i="15"/>
  <c r="S17" i="15"/>
  <c r="R17" i="15"/>
  <c r="Q17" i="15"/>
  <c r="P17" i="15"/>
  <c r="O17" i="15"/>
  <c r="N17" i="15"/>
  <c r="L17" i="15"/>
  <c r="K17" i="15"/>
  <c r="J17" i="15"/>
  <c r="I17" i="15"/>
  <c r="H17" i="15"/>
  <c r="G17" i="15"/>
  <c r="F17" i="15"/>
  <c r="E17" i="15"/>
  <c r="D17" i="15"/>
  <c r="W16" i="15"/>
  <c r="M16" i="15"/>
  <c r="V15" i="15"/>
  <c r="U15" i="15"/>
  <c r="T15" i="15"/>
  <c r="S15" i="15"/>
  <c r="R15" i="15"/>
  <c r="Q15" i="15"/>
  <c r="P15" i="15"/>
  <c r="O15" i="15"/>
  <c r="N15" i="15"/>
  <c r="L15" i="15"/>
  <c r="K15" i="15"/>
  <c r="J15" i="15"/>
  <c r="I15" i="15"/>
  <c r="H15" i="15"/>
  <c r="G15" i="15"/>
  <c r="F15" i="15"/>
  <c r="E15" i="15"/>
  <c r="D15" i="15"/>
  <c r="W14" i="15"/>
  <c r="M14" i="15"/>
  <c r="V13" i="15"/>
  <c r="U13" i="15"/>
  <c r="T13" i="15"/>
  <c r="S13" i="15"/>
  <c r="R13" i="15"/>
  <c r="Q13" i="15"/>
  <c r="P13" i="15"/>
  <c r="O13" i="15"/>
  <c r="N13" i="15"/>
  <c r="L13" i="15"/>
  <c r="K13" i="15"/>
  <c r="J13" i="15"/>
  <c r="I13" i="15"/>
  <c r="H13" i="15"/>
  <c r="G13" i="15"/>
  <c r="F13" i="15"/>
  <c r="E13" i="15"/>
  <c r="D13" i="15"/>
  <c r="W12" i="15"/>
  <c r="M12" i="15"/>
  <c r="V11" i="15"/>
  <c r="U11" i="15"/>
  <c r="T11" i="15"/>
  <c r="S11" i="15"/>
  <c r="R11" i="15"/>
  <c r="Q11" i="15"/>
  <c r="P11" i="15"/>
  <c r="O11" i="15"/>
  <c r="N11" i="15"/>
  <c r="L11" i="15"/>
  <c r="K11" i="15"/>
  <c r="J11" i="15"/>
  <c r="I11" i="15"/>
  <c r="H11" i="15"/>
  <c r="G11" i="15"/>
  <c r="F11" i="15"/>
  <c r="E11" i="15"/>
  <c r="D11" i="15"/>
  <c r="W10" i="15"/>
  <c r="M10" i="15"/>
  <c r="W7" i="15"/>
  <c r="M7" i="15"/>
  <c r="V17" i="14"/>
  <c r="U17" i="14"/>
  <c r="T17" i="14"/>
  <c r="S17" i="14"/>
  <c r="R17" i="14"/>
  <c r="Q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W16" i="14"/>
  <c r="M16" i="14"/>
  <c r="V15" i="14"/>
  <c r="U15" i="14"/>
  <c r="T15" i="14"/>
  <c r="S15" i="14"/>
  <c r="R15" i="14"/>
  <c r="Q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W14" i="14"/>
  <c r="M14" i="14"/>
  <c r="X14" i="14" s="1"/>
  <c r="Z14" i="14" s="1"/>
  <c r="Z15" i="14" s="1" a="1"/>
  <c r="Z15" i="14" s="1"/>
  <c r="V13" i="14"/>
  <c r="U13" i="14"/>
  <c r="T13" i="14"/>
  <c r="S13" i="14"/>
  <c r="R13" i="14"/>
  <c r="Q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W12" i="14"/>
  <c r="M12" i="14"/>
  <c r="V11" i="14"/>
  <c r="U11" i="14"/>
  <c r="T11" i="14"/>
  <c r="S11" i="14"/>
  <c r="R11" i="14"/>
  <c r="Q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W10" i="14"/>
  <c r="M10" i="14"/>
  <c r="W7" i="14"/>
  <c r="M7" i="14"/>
  <c r="V17" i="11"/>
  <c r="U17" i="11"/>
  <c r="T17" i="11"/>
  <c r="S17" i="11"/>
  <c r="R17" i="11"/>
  <c r="Q17" i="11"/>
  <c r="P17" i="11"/>
  <c r="O17" i="11"/>
  <c r="N17" i="11"/>
  <c r="L17" i="11"/>
  <c r="K17" i="11"/>
  <c r="J17" i="11"/>
  <c r="I17" i="11"/>
  <c r="H17" i="11"/>
  <c r="G17" i="11"/>
  <c r="F17" i="11"/>
  <c r="E17" i="11"/>
  <c r="D17" i="11"/>
  <c r="W16" i="11"/>
  <c r="M16" i="11"/>
  <c r="V15" i="11"/>
  <c r="U15" i="11"/>
  <c r="T15" i="11"/>
  <c r="S15" i="11"/>
  <c r="R15" i="11"/>
  <c r="Q15" i="11"/>
  <c r="P15" i="11"/>
  <c r="O15" i="11"/>
  <c r="N15" i="11"/>
  <c r="L15" i="11"/>
  <c r="K15" i="11"/>
  <c r="J15" i="11"/>
  <c r="I15" i="11"/>
  <c r="H15" i="11"/>
  <c r="G15" i="11"/>
  <c r="F15" i="11"/>
  <c r="E15" i="11"/>
  <c r="D15" i="11"/>
  <c r="W14" i="11"/>
  <c r="M14" i="11"/>
  <c r="V13" i="11"/>
  <c r="U13" i="11"/>
  <c r="T13" i="11"/>
  <c r="S13" i="11"/>
  <c r="R13" i="11"/>
  <c r="Q13" i="11"/>
  <c r="P13" i="11"/>
  <c r="O13" i="11"/>
  <c r="N13" i="11"/>
  <c r="L13" i="11"/>
  <c r="K13" i="11"/>
  <c r="J13" i="11"/>
  <c r="I13" i="11"/>
  <c r="H13" i="11"/>
  <c r="G13" i="11"/>
  <c r="F13" i="11"/>
  <c r="E13" i="11"/>
  <c r="D13" i="11"/>
  <c r="W12" i="11"/>
  <c r="M12" i="11"/>
  <c r="V11" i="11"/>
  <c r="U11" i="11"/>
  <c r="T11" i="11"/>
  <c r="S11" i="11"/>
  <c r="R11" i="11"/>
  <c r="Q11" i="11"/>
  <c r="P11" i="11"/>
  <c r="O11" i="11"/>
  <c r="N11" i="11"/>
  <c r="L11" i="11"/>
  <c r="K11" i="11"/>
  <c r="J11" i="11"/>
  <c r="I11" i="11"/>
  <c r="H11" i="11"/>
  <c r="G11" i="11"/>
  <c r="F11" i="11"/>
  <c r="E11" i="11"/>
  <c r="D11" i="11"/>
  <c r="W10" i="11"/>
  <c r="M10" i="11"/>
  <c r="W7" i="11"/>
  <c r="M7" i="11"/>
  <c r="V17" i="10"/>
  <c r="U17" i="10"/>
  <c r="T17" i="10"/>
  <c r="S17" i="10"/>
  <c r="R17" i="10"/>
  <c r="Q17" i="10"/>
  <c r="P17" i="10"/>
  <c r="O17" i="10"/>
  <c r="N17" i="10"/>
  <c r="L17" i="10"/>
  <c r="K17" i="10"/>
  <c r="J17" i="10"/>
  <c r="I17" i="10"/>
  <c r="H17" i="10"/>
  <c r="G17" i="10"/>
  <c r="F17" i="10"/>
  <c r="E17" i="10"/>
  <c r="D17" i="10"/>
  <c r="W16" i="10"/>
  <c r="M16" i="10"/>
  <c r="V15" i="10"/>
  <c r="U15" i="10"/>
  <c r="T15" i="10"/>
  <c r="S15" i="10"/>
  <c r="R15" i="10"/>
  <c r="Q15" i="10"/>
  <c r="P15" i="10"/>
  <c r="O15" i="10"/>
  <c r="N15" i="10"/>
  <c r="L15" i="10"/>
  <c r="K15" i="10"/>
  <c r="J15" i="10"/>
  <c r="I15" i="10"/>
  <c r="H15" i="10"/>
  <c r="G15" i="10"/>
  <c r="F15" i="10"/>
  <c r="E15" i="10"/>
  <c r="D15" i="10"/>
  <c r="W14" i="10"/>
  <c r="M14" i="10"/>
  <c r="V13" i="10"/>
  <c r="U13" i="10"/>
  <c r="T13" i="10"/>
  <c r="S13" i="10"/>
  <c r="R13" i="10"/>
  <c r="Q13" i="10"/>
  <c r="P13" i="10"/>
  <c r="O13" i="10"/>
  <c r="N13" i="10"/>
  <c r="L13" i="10"/>
  <c r="K13" i="10"/>
  <c r="J13" i="10"/>
  <c r="I13" i="10"/>
  <c r="H13" i="10"/>
  <c r="G13" i="10"/>
  <c r="F13" i="10"/>
  <c r="E13" i="10"/>
  <c r="D13" i="10"/>
  <c r="W12" i="10"/>
  <c r="M12" i="10"/>
  <c r="V11" i="10"/>
  <c r="U11" i="10"/>
  <c r="T11" i="10"/>
  <c r="S11" i="10"/>
  <c r="R11" i="10"/>
  <c r="Q11" i="10"/>
  <c r="P11" i="10"/>
  <c r="O11" i="10"/>
  <c r="N11" i="10"/>
  <c r="L11" i="10"/>
  <c r="K11" i="10"/>
  <c r="J11" i="10"/>
  <c r="I11" i="10"/>
  <c r="H11" i="10"/>
  <c r="G11" i="10"/>
  <c r="F11" i="10"/>
  <c r="E11" i="10"/>
  <c r="D11" i="10"/>
  <c r="W10" i="10"/>
  <c r="M10" i="10"/>
  <c r="W7" i="10"/>
  <c r="M7" i="10"/>
  <c r="V17" i="8"/>
  <c r="U17" i="8"/>
  <c r="T17" i="8"/>
  <c r="S17" i="8"/>
  <c r="R17" i="8"/>
  <c r="Q17" i="8"/>
  <c r="P17" i="8"/>
  <c r="O17" i="8"/>
  <c r="N17" i="8"/>
  <c r="L17" i="8"/>
  <c r="K17" i="8"/>
  <c r="J17" i="8"/>
  <c r="I17" i="8"/>
  <c r="H17" i="8"/>
  <c r="G17" i="8"/>
  <c r="F17" i="8"/>
  <c r="E17" i="8"/>
  <c r="D17" i="8"/>
  <c r="W16" i="8"/>
  <c r="M16" i="8"/>
  <c r="V15" i="8"/>
  <c r="U15" i="8"/>
  <c r="T15" i="8"/>
  <c r="S15" i="8"/>
  <c r="R15" i="8"/>
  <c r="Q15" i="8"/>
  <c r="P15" i="8"/>
  <c r="O15" i="8"/>
  <c r="N15" i="8"/>
  <c r="L15" i="8"/>
  <c r="K15" i="8"/>
  <c r="J15" i="8"/>
  <c r="I15" i="8"/>
  <c r="H15" i="8"/>
  <c r="G15" i="8"/>
  <c r="F15" i="8"/>
  <c r="E15" i="8"/>
  <c r="D15" i="8"/>
  <c r="W14" i="8"/>
  <c r="M14" i="8"/>
  <c r="V13" i="8"/>
  <c r="U13" i="8"/>
  <c r="T13" i="8"/>
  <c r="S13" i="8"/>
  <c r="R13" i="8"/>
  <c r="Q13" i="8"/>
  <c r="P13" i="8"/>
  <c r="O13" i="8"/>
  <c r="N13" i="8"/>
  <c r="L13" i="8"/>
  <c r="K13" i="8"/>
  <c r="J13" i="8"/>
  <c r="I13" i="8"/>
  <c r="H13" i="8"/>
  <c r="G13" i="8"/>
  <c r="F13" i="8"/>
  <c r="E13" i="8"/>
  <c r="D13" i="8"/>
  <c r="W12" i="8"/>
  <c r="M12" i="8"/>
  <c r="V11" i="8"/>
  <c r="U11" i="8"/>
  <c r="T11" i="8"/>
  <c r="S11" i="8"/>
  <c r="R11" i="8"/>
  <c r="Q11" i="8"/>
  <c r="P11" i="8"/>
  <c r="O11" i="8"/>
  <c r="N11" i="8"/>
  <c r="L11" i="8"/>
  <c r="K11" i="8"/>
  <c r="J11" i="8"/>
  <c r="I11" i="8"/>
  <c r="H11" i="8"/>
  <c r="G11" i="8"/>
  <c r="F11" i="8"/>
  <c r="E11" i="8"/>
  <c r="D11" i="8"/>
  <c r="W10" i="8"/>
  <c r="M10" i="8"/>
  <c r="W7" i="8"/>
  <c r="M7" i="8"/>
  <c r="X7" i="14" l="1"/>
  <c r="X14" i="17"/>
  <c r="Z14" i="17" s="1"/>
  <c r="Z15" i="17" s="1" a="1"/>
  <c r="Z15" i="17" s="1"/>
  <c r="X12" i="19"/>
  <c r="Z12" i="19" s="1"/>
  <c r="Z13" i="19" s="1" a="1"/>
  <c r="Z13" i="19" s="1"/>
  <c r="X14" i="11"/>
  <c r="Z14" i="11" s="1"/>
  <c r="Z15" i="11" s="1" a="1"/>
  <c r="Z15" i="11" s="1"/>
  <c r="X7" i="21"/>
  <c r="X16" i="22"/>
  <c r="Z16" i="22" s="1"/>
  <c r="Z17" i="22" s="1" a="1"/>
  <c r="Z17" i="22" s="1"/>
  <c r="X10" i="21"/>
  <c r="Z10" i="21" s="1"/>
  <c r="Z11" i="21" s="1" a="1"/>
  <c r="Z11" i="21" s="1"/>
  <c r="M11" i="15"/>
  <c r="X16" i="11"/>
  <c r="Z16" i="11" s="1"/>
  <c r="Z17" i="11" s="1" a="1"/>
  <c r="Z17" i="11" s="1"/>
  <c r="X14" i="15"/>
  <c r="Z14" i="15" s="1"/>
  <c r="Z15" i="15" s="1" a="1"/>
  <c r="Z15" i="15" s="1"/>
  <c r="X16" i="10"/>
  <c r="Z16" i="10" s="1"/>
  <c r="Z17" i="10" s="1" a="1"/>
  <c r="Z17" i="10" s="1"/>
  <c r="X7" i="10"/>
  <c r="AA17" i="17"/>
  <c r="X12" i="10"/>
  <c r="Z12" i="10" s="1"/>
  <c r="Z13" i="10" s="1" a="1"/>
  <c r="Z13" i="10" s="1"/>
  <c r="AA11" i="19"/>
  <c r="X7" i="18"/>
  <c r="X16" i="19"/>
  <c r="Z16" i="19" s="1"/>
  <c r="Z17" i="19" s="1" a="1"/>
  <c r="Z17" i="19" s="1"/>
  <c r="AA11" i="21"/>
  <c r="AE11" i="21" s="1"/>
  <c r="F21" i="3" s="1"/>
  <c r="M11" i="11"/>
  <c r="W11" i="10"/>
  <c r="W17" i="11"/>
  <c r="X16" i="17"/>
  <c r="Z16" i="17" s="1"/>
  <c r="Z17" i="17" s="1" a="1"/>
  <c r="Z17" i="17" s="1"/>
  <c r="X12" i="22"/>
  <c r="Z12" i="22" s="1"/>
  <c r="Z13" i="22" s="1" a="1"/>
  <c r="Z13" i="22" s="1"/>
  <c r="X14" i="10"/>
  <c r="Z14" i="10" s="1"/>
  <c r="Z15" i="10" s="1" a="1"/>
  <c r="Z15" i="10" s="1"/>
  <c r="X12" i="14"/>
  <c r="Z12" i="14" s="1"/>
  <c r="Z13" i="14" s="1" a="1"/>
  <c r="Z13" i="14" s="1"/>
  <c r="X7" i="17"/>
  <c r="X14" i="18"/>
  <c r="Z14" i="18" s="1"/>
  <c r="Z15" i="18" s="1" a="1"/>
  <c r="Z15" i="18" s="1"/>
  <c r="X7" i="8"/>
  <c r="X10" i="18"/>
  <c r="Z10" i="18" s="1"/>
  <c r="Z11" i="18" s="1" a="1"/>
  <c r="Z11" i="18" s="1"/>
  <c r="AA11" i="18"/>
  <c r="W11" i="19"/>
  <c r="W11" i="15"/>
  <c r="W11" i="22"/>
  <c r="X7" i="22"/>
  <c r="AA13" i="19"/>
  <c r="AA11" i="16"/>
  <c r="X10" i="14"/>
  <c r="Z10" i="14" s="1"/>
  <c r="Z11" i="14" s="1" a="1"/>
  <c r="Z11" i="14" s="1"/>
  <c r="X16" i="15"/>
  <c r="Z16" i="15" s="1"/>
  <c r="Z17" i="15" s="1" a="1"/>
  <c r="Z17" i="15" s="1"/>
  <c r="W15" i="16"/>
  <c r="W11" i="21"/>
  <c r="W13" i="18"/>
  <c r="X7" i="19"/>
  <c r="AA11" i="14"/>
  <c r="W15" i="14"/>
  <c r="AA11" i="22"/>
  <c r="X10" i="19"/>
  <c r="Z10" i="19" s="1"/>
  <c r="Z11" i="19" s="1" a="1"/>
  <c r="Z11" i="19" s="1"/>
  <c r="M15" i="15"/>
  <c r="AA11" i="15"/>
  <c r="M13" i="15"/>
  <c r="W11" i="18"/>
  <c r="AA11" i="10"/>
  <c r="W11" i="11"/>
  <c r="W11" i="16"/>
  <c r="W11" i="14"/>
  <c r="X10" i="15"/>
  <c r="Z10" i="15" s="1"/>
  <c r="Z11" i="15" s="1" a="1"/>
  <c r="Z11" i="15" s="1"/>
  <c r="X16" i="16"/>
  <c r="Z16" i="16" s="1"/>
  <c r="Z17" i="16" s="1" a="1"/>
  <c r="Z17" i="16" s="1"/>
  <c r="X12" i="21"/>
  <c r="Z12" i="21" s="1"/>
  <c r="Z13" i="21" s="1" a="1"/>
  <c r="Z13" i="21" s="1"/>
  <c r="W13" i="22"/>
  <c r="AA17" i="10"/>
  <c r="AE17" i="10" s="1"/>
  <c r="I13" i="3" s="1"/>
  <c r="W15" i="11"/>
  <c r="AA17" i="14"/>
  <c r="AA13" i="16"/>
  <c r="M13" i="17"/>
  <c r="M13" i="19"/>
  <c r="W13" i="21"/>
  <c r="X10" i="22"/>
  <c r="Z10" i="22" s="1"/>
  <c r="Z11" i="22" s="1" a="1"/>
  <c r="Z11" i="22" s="1"/>
  <c r="M13" i="22"/>
  <c r="M17" i="14"/>
  <c r="W17" i="15"/>
  <c r="AA15" i="17"/>
  <c r="AE15" i="17" s="1"/>
  <c r="H18" i="3" s="1"/>
  <c r="X10" i="17"/>
  <c r="Z10" i="17" s="1"/>
  <c r="Z11" i="17" s="1" a="1"/>
  <c r="Z11" i="17" s="1"/>
  <c r="W17" i="17"/>
  <c r="W17" i="19"/>
  <c r="W17" i="22"/>
  <c r="AA15" i="22"/>
  <c r="W15" i="15"/>
  <c r="AA13" i="17"/>
  <c r="X16" i="18"/>
  <c r="Z16" i="18" s="1"/>
  <c r="Z17" i="18" s="1" a="1"/>
  <c r="Z17" i="18" s="1"/>
  <c r="M11" i="19"/>
  <c r="X16" i="21"/>
  <c r="Z16" i="21" s="1"/>
  <c r="Z17" i="21" s="1" a="1"/>
  <c r="Z17" i="21" s="1"/>
  <c r="M11" i="22"/>
  <c r="M15" i="19"/>
  <c r="M15" i="22"/>
  <c r="X16" i="8"/>
  <c r="Z16" i="8" s="1"/>
  <c r="Z17" i="8" s="1" a="1"/>
  <c r="Z17" i="8" s="1"/>
  <c r="M11" i="17"/>
  <c r="W15" i="17"/>
  <c r="AA17" i="18"/>
  <c r="W15" i="19"/>
  <c r="AA17" i="21"/>
  <c r="W15" i="22"/>
  <c r="X10" i="10"/>
  <c r="Z10" i="10" s="1"/>
  <c r="Z11" i="10" s="1" a="1"/>
  <c r="Z11" i="10" s="1"/>
  <c r="M13" i="10"/>
  <c r="W13" i="11"/>
  <c r="M13" i="14"/>
  <c r="AA17" i="16"/>
  <c r="X14" i="21"/>
  <c r="Z14" i="21" s="1"/>
  <c r="Z15" i="21" s="1" a="1"/>
  <c r="Z15" i="21" s="1"/>
  <c r="M11" i="10"/>
  <c r="M11" i="14"/>
  <c r="W17" i="14"/>
  <c r="AA13" i="15"/>
  <c r="W13" i="17"/>
  <c r="AA15" i="21"/>
  <c r="AA15" i="10"/>
  <c r="AA13" i="14"/>
  <c r="AE13" i="14" s="1"/>
  <c r="G15" i="3" s="1"/>
  <c r="X7" i="16"/>
  <c r="X12" i="16"/>
  <c r="Z12" i="16" s="1"/>
  <c r="Z13" i="16" s="1" a="1"/>
  <c r="Z13" i="16" s="1"/>
  <c r="AA15" i="18"/>
  <c r="AE15" i="18" s="1"/>
  <c r="H19" i="3" s="1"/>
  <c r="AA15" i="14"/>
  <c r="AE15" i="14" s="1"/>
  <c r="H15" i="3" s="1"/>
  <c r="W17" i="10"/>
  <c r="W13" i="15"/>
  <c r="W15" i="10"/>
  <c r="AA17" i="11"/>
  <c r="M15" i="14"/>
  <c r="X10" i="16"/>
  <c r="Z10" i="16" s="1"/>
  <c r="Z11" i="16" s="1" a="1"/>
  <c r="Z11" i="16" s="1"/>
  <c r="AE11" i="16" s="1"/>
  <c r="F17" i="3" s="1"/>
  <c r="AA15" i="16"/>
  <c r="AE15" i="16" s="1"/>
  <c r="H17" i="3" s="1"/>
  <c r="M13" i="18"/>
  <c r="M13" i="21"/>
  <c r="M11" i="16"/>
  <c r="W17" i="18"/>
  <c r="W17" i="21"/>
  <c r="M13" i="16"/>
  <c r="W17" i="16"/>
  <c r="M11" i="18"/>
  <c r="M11" i="21"/>
  <c r="AA11" i="11"/>
  <c r="M15" i="16"/>
  <c r="M15" i="18"/>
  <c r="M15" i="21"/>
  <c r="X7" i="11"/>
  <c r="X12" i="11"/>
  <c r="Z12" i="11" s="1"/>
  <c r="Z13" i="11" s="1" a="1"/>
  <c r="Z13" i="11" s="1"/>
  <c r="AA17" i="15"/>
  <c r="W15" i="18"/>
  <c r="AA17" i="19"/>
  <c r="AE17" i="19" s="1"/>
  <c r="I20" i="3" s="1"/>
  <c r="W15" i="21"/>
  <c r="AA17" i="22"/>
  <c r="AE17" i="22" s="1"/>
  <c r="I22" i="3" s="1"/>
  <c r="AA13" i="10"/>
  <c r="X10" i="11"/>
  <c r="Z10" i="11" s="1"/>
  <c r="Z11" i="11" s="1" a="1"/>
  <c r="Z11" i="11" s="1"/>
  <c r="M13" i="11"/>
  <c r="W13" i="14"/>
  <c r="X7" i="15"/>
  <c r="X12" i="15"/>
  <c r="Z12" i="15" s="1"/>
  <c r="Z13" i="15" s="1" a="1"/>
  <c r="Z13" i="15" s="1"/>
  <c r="M17" i="15"/>
  <c r="AA11" i="17"/>
  <c r="X14" i="19"/>
  <c r="Z14" i="19" s="1"/>
  <c r="Z15" i="19" s="1" a="1"/>
  <c r="Z15" i="19" s="1"/>
  <c r="X14" i="22"/>
  <c r="Z14" i="22" s="1"/>
  <c r="Z15" i="22" s="1" a="1"/>
  <c r="Z15" i="22" s="1"/>
  <c r="M15" i="11"/>
  <c r="X16" i="14"/>
  <c r="Z16" i="14" s="1"/>
  <c r="Z17" i="14" s="1" a="1"/>
  <c r="Z17" i="14" s="1"/>
  <c r="AA15" i="15"/>
  <c r="AE15" i="15" s="1"/>
  <c r="H16" i="3" s="1"/>
  <c r="X12" i="17"/>
  <c r="Z12" i="17" s="1"/>
  <c r="Z13" i="17" s="1" a="1"/>
  <c r="Z13" i="17" s="1"/>
  <c r="AA15" i="19"/>
  <c r="M17" i="22"/>
  <c r="AA13" i="22"/>
  <c r="AA13" i="21"/>
  <c r="AE13" i="21" s="1"/>
  <c r="G21" i="3" s="1"/>
  <c r="M17" i="21"/>
  <c r="AE13" i="19"/>
  <c r="G20" i="3" s="1"/>
  <c r="W13" i="19"/>
  <c r="M17" i="19"/>
  <c r="AA13" i="18"/>
  <c r="AE13" i="18" s="1"/>
  <c r="G19" i="3" s="1"/>
  <c r="M17" i="18"/>
  <c r="M17" i="17"/>
  <c r="M15" i="17"/>
  <c r="W11" i="17"/>
  <c r="M17" i="16"/>
  <c r="W13" i="16"/>
  <c r="AA13" i="11"/>
  <c r="AA15" i="11"/>
  <c r="AE15" i="11" s="1"/>
  <c r="H14" i="3" s="1"/>
  <c r="M17" i="11"/>
  <c r="M15" i="10"/>
  <c r="W13" i="10"/>
  <c r="M17" i="10"/>
  <c r="M15" i="8"/>
  <c r="AA13" i="8"/>
  <c r="X12" i="8"/>
  <c r="Z12" i="8" s="1"/>
  <c r="Z13" i="8" s="1" a="1"/>
  <c r="Z13" i="8" s="1"/>
  <c r="W11" i="8"/>
  <c r="X10" i="8"/>
  <c r="Z10" i="8" s="1"/>
  <c r="AA11" i="8"/>
  <c r="AA17" i="8"/>
  <c r="W17" i="8"/>
  <c r="M17" i="8"/>
  <c r="X14" i="8"/>
  <c r="Z14" i="8" s="1"/>
  <c r="Z15" i="8" s="1" a="1"/>
  <c r="Z15" i="8" s="1"/>
  <c r="W15" i="8"/>
  <c r="AA15" i="8"/>
  <c r="M13" i="8"/>
  <c r="M11" i="8"/>
  <c r="W13" i="8"/>
  <c r="AE17" i="17" l="1"/>
  <c r="I18" i="3" s="1"/>
  <c r="AE17" i="11"/>
  <c r="I14" i="3" s="1"/>
  <c r="AE17" i="15"/>
  <c r="I16" i="3" s="1"/>
  <c r="X11" i="15"/>
  <c r="Y10" i="15" s="1"/>
  <c r="X11" i="11"/>
  <c r="Y10" i="11" s="1"/>
  <c r="X17" i="11"/>
  <c r="Y16" i="11" s="1"/>
  <c r="AE11" i="19"/>
  <c r="F20" i="3" s="1"/>
  <c r="AE13" i="22"/>
  <c r="G22" i="3" s="1"/>
  <c r="AE13" i="16"/>
  <c r="G17" i="3" s="1"/>
  <c r="X17" i="22"/>
  <c r="Y16" i="22" s="1"/>
  <c r="AE15" i="10"/>
  <c r="H13" i="3" s="1"/>
  <c r="AE13" i="10"/>
  <c r="G13" i="3" s="1"/>
  <c r="X11" i="10"/>
  <c r="Y10" i="10" s="1"/>
  <c r="X11" i="22"/>
  <c r="Y10" i="22" s="1"/>
  <c r="X11" i="19"/>
  <c r="Y10" i="19" s="1"/>
  <c r="AE11" i="18"/>
  <c r="F19" i="3" s="1"/>
  <c r="X13" i="11"/>
  <c r="Y12" i="11" s="1"/>
  <c r="AE17" i="21"/>
  <c r="I21" i="3" s="1"/>
  <c r="AE17" i="18"/>
  <c r="I19" i="3" s="1"/>
  <c r="AE11" i="14"/>
  <c r="F15" i="3" s="1"/>
  <c r="AE15" i="21"/>
  <c r="H21" i="3" s="1"/>
  <c r="X13" i="21"/>
  <c r="Y12" i="21" s="1"/>
  <c r="AE17" i="16"/>
  <c r="I17" i="3" s="1"/>
  <c r="AE11" i="17"/>
  <c r="F18" i="3" s="1"/>
  <c r="X15" i="16"/>
  <c r="Y14" i="16" s="1"/>
  <c r="X15" i="15"/>
  <c r="Y14" i="15" s="1"/>
  <c r="X17" i="14"/>
  <c r="Y16" i="14" s="1"/>
  <c r="X13" i="15"/>
  <c r="Y12" i="15" s="1"/>
  <c r="X17" i="18"/>
  <c r="Y16" i="18" s="1"/>
  <c r="AE11" i="10"/>
  <c r="F13" i="3" s="1"/>
  <c r="X13" i="22"/>
  <c r="Y12" i="22" s="1"/>
  <c r="AE13" i="8"/>
  <c r="G12" i="3" s="1"/>
  <c r="X13" i="18"/>
  <c r="Y12" i="18" s="1"/>
  <c r="AE11" i="22"/>
  <c r="F22" i="3" s="1"/>
  <c r="X15" i="21"/>
  <c r="Y14" i="21" s="1"/>
  <c r="X17" i="19"/>
  <c r="Y16" i="19" s="1"/>
  <c r="X11" i="21"/>
  <c r="Y10" i="21" s="1"/>
  <c r="X13" i="14"/>
  <c r="Y12" i="14" s="1"/>
  <c r="X17" i="10"/>
  <c r="Y16" i="10" s="1"/>
  <c r="AE17" i="14"/>
  <c r="I15" i="3" s="1"/>
  <c r="X17" i="16"/>
  <c r="Y16" i="16" s="1"/>
  <c r="X15" i="14"/>
  <c r="Y14" i="14" s="1"/>
  <c r="X15" i="10"/>
  <c r="Y14" i="10" s="1"/>
  <c r="X13" i="16"/>
  <c r="Y12" i="16" s="1"/>
  <c r="X11" i="18"/>
  <c r="Y10" i="18" s="1"/>
  <c r="AE15" i="22"/>
  <c r="H22" i="3" s="1"/>
  <c r="X11" i="17"/>
  <c r="Y10" i="17" s="1"/>
  <c r="X15" i="8"/>
  <c r="Y14" i="8" s="1"/>
  <c r="X15" i="17"/>
  <c r="Y14" i="17" s="1"/>
  <c r="X17" i="17"/>
  <c r="Y16" i="17" s="1"/>
  <c r="X17" i="15"/>
  <c r="Y16" i="15" s="1"/>
  <c r="AE13" i="15"/>
  <c r="G16" i="3" s="1"/>
  <c r="X11" i="16"/>
  <c r="Y10" i="16" s="1"/>
  <c r="X11" i="14"/>
  <c r="Y10" i="14" s="1"/>
  <c r="AE13" i="11"/>
  <c r="G14" i="3" s="1"/>
  <c r="AE17" i="8"/>
  <c r="I12" i="3" s="1"/>
  <c r="AE11" i="15"/>
  <c r="F16" i="3" s="1"/>
  <c r="X13" i="10"/>
  <c r="Y12" i="10" s="1"/>
  <c r="X17" i="21"/>
  <c r="Y16" i="21" s="1"/>
  <c r="X15" i="18"/>
  <c r="Y14" i="18" s="1"/>
  <c r="AE15" i="8"/>
  <c r="H12" i="3" s="1"/>
  <c r="AE13" i="17"/>
  <c r="G18" i="3" s="1"/>
  <c r="X15" i="11"/>
  <c r="Y14" i="11" s="1"/>
  <c r="AE15" i="19"/>
  <c r="H20" i="3" s="1"/>
  <c r="X15" i="22"/>
  <c r="Y14" i="22" s="1"/>
  <c r="X13" i="17"/>
  <c r="Y12" i="17" s="1"/>
  <c r="X15" i="19"/>
  <c r="Y14" i="19" s="1"/>
  <c r="Z11" i="8" a="1"/>
  <c r="Z11" i="8" s="1"/>
  <c r="AE11" i="8" s="1"/>
  <c r="F12" i="3" s="1"/>
  <c r="X13" i="19"/>
  <c r="Y12" i="19" s="1"/>
  <c r="AE11" i="11"/>
  <c r="F14" i="3" s="1"/>
  <c r="X13" i="8"/>
  <c r="Y12" i="8" s="1"/>
  <c r="X11" i="8"/>
  <c r="Y10" i="8" s="1"/>
  <c r="X17" i="8"/>
  <c r="Y16" i="8" s="1"/>
  <c r="G6" i="3" l="1"/>
  <c r="G7" i="3"/>
  <c r="G5" i="3"/>
  <c r="G4" i="3"/>
  <c r="V17" i="1"/>
  <c r="U17" i="1"/>
  <c r="T17" i="1"/>
  <c r="S17" i="1"/>
  <c r="R17" i="1"/>
  <c r="Q17" i="1"/>
  <c r="P17" i="1"/>
  <c r="O17" i="1"/>
  <c r="N17" i="1"/>
  <c r="L17" i="1"/>
  <c r="K17" i="1"/>
  <c r="J17" i="1"/>
  <c r="I17" i="1"/>
  <c r="H17" i="1"/>
  <c r="G17" i="1"/>
  <c r="F17" i="1"/>
  <c r="E17" i="1"/>
  <c r="D17" i="1"/>
  <c r="W16" i="1"/>
  <c r="M16" i="1"/>
  <c r="V15" i="1"/>
  <c r="U15" i="1"/>
  <c r="T15" i="1"/>
  <c r="S15" i="1"/>
  <c r="R15" i="1"/>
  <c r="Q15" i="1"/>
  <c r="P15" i="1"/>
  <c r="O15" i="1"/>
  <c r="N15" i="1"/>
  <c r="L15" i="1"/>
  <c r="K15" i="1"/>
  <c r="J15" i="1"/>
  <c r="I15" i="1"/>
  <c r="H15" i="1"/>
  <c r="G15" i="1"/>
  <c r="F15" i="1"/>
  <c r="E15" i="1"/>
  <c r="D15" i="1"/>
  <c r="W14" i="1"/>
  <c r="M14" i="1"/>
  <c r="V13" i="1"/>
  <c r="U13" i="1"/>
  <c r="T13" i="1"/>
  <c r="S13" i="1"/>
  <c r="R13" i="1"/>
  <c r="Q13" i="1"/>
  <c r="P13" i="1"/>
  <c r="O13" i="1"/>
  <c r="N13" i="1"/>
  <c r="L13" i="1"/>
  <c r="K13" i="1"/>
  <c r="J13" i="1"/>
  <c r="I13" i="1"/>
  <c r="H13" i="1"/>
  <c r="G13" i="1"/>
  <c r="F13" i="1"/>
  <c r="E13" i="1"/>
  <c r="D13" i="1"/>
  <c r="W12" i="1"/>
  <c r="M12" i="1"/>
  <c r="V11" i="1"/>
  <c r="U11" i="1"/>
  <c r="T11" i="1"/>
  <c r="S11" i="1"/>
  <c r="R11" i="1"/>
  <c r="Q11" i="1"/>
  <c r="P11" i="1"/>
  <c r="O11" i="1"/>
  <c r="N11" i="1"/>
  <c r="L11" i="1"/>
  <c r="K11" i="1"/>
  <c r="J11" i="1"/>
  <c r="I11" i="1"/>
  <c r="H11" i="1"/>
  <c r="G11" i="1"/>
  <c r="F11" i="1"/>
  <c r="E11" i="1"/>
  <c r="D11" i="1"/>
  <c r="W10" i="1"/>
  <c r="M10" i="1"/>
  <c r="W7" i="1"/>
  <c r="M7" i="1"/>
  <c r="F6" i="3"/>
  <c r="F4" i="3"/>
  <c r="F5" i="3"/>
  <c r="F7" i="3"/>
  <c r="E7" i="3"/>
  <c r="E5" i="3"/>
  <c r="E4" i="3"/>
  <c r="E6" i="3"/>
  <c r="D1" i="4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D1" i="7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D1" i="6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D1" i="5"/>
  <c r="F22" i="4"/>
  <c r="F21" i="4"/>
  <c r="F20" i="4"/>
  <c r="F19" i="4"/>
  <c r="F18" i="4"/>
  <c r="F17" i="4"/>
  <c r="F16" i="4"/>
  <c r="F15" i="4"/>
  <c r="F14" i="4"/>
  <c r="F12" i="4"/>
  <c r="F11" i="4"/>
  <c r="F10" i="4"/>
  <c r="F9" i="4"/>
  <c r="F8" i="4"/>
  <c r="F7" i="4"/>
  <c r="F6" i="4"/>
  <c r="F5" i="4"/>
  <c r="F4" i="4"/>
  <c r="F3" i="4"/>
  <c r="B1" i="4"/>
  <c r="F1" i="7"/>
  <c r="F1" i="5"/>
  <c r="B1" i="6"/>
  <c r="F1" i="6"/>
  <c r="B1" i="7"/>
  <c r="B1" i="5"/>
  <c r="F1" i="4"/>
  <c r="X12" i="1" l="1"/>
  <c r="Z12" i="1" s="1"/>
  <c r="Z13" i="1" s="1" a="1"/>
  <c r="Z13" i="1" s="1"/>
  <c r="X7" i="1"/>
  <c r="X16" i="1"/>
  <c r="Z16" i="1" s="1"/>
  <c r="Z17" i="1" s="1" a="1"/>
  <c r="Z17" i="1" s="1"/>
  <c r="W11" i="1"/>
  <c r="M15" i="1"/>
  <c r="M17" i="1"/>
  <c r="W17" i="1"/>
  <c r="AA17" i="1"/>
  <c r="X14" i="1"/>
  <c r="Z14" i="1" s="1"/>
  <c r="Z15" i="1" s="1" a="1"/>
  <c r="Z15" i="1" s="1"/>
  <c r="W15" i="1"/>
  <c r="M13" i="1"/>
  <c r="W13" i="1"/>
  <c r="X10" i="1"/>
  <c r="Z10" i="1" s="1"/>
  <c r="Z11" i="1" s="1" a="1"/>
  <c r="Z11" i="1" s="1"/>
  <c r="M11" i="1"/>
  <c r="AA15" i="1"/>
  <c r="AA13" i="1"/>
  <c r="AA11" i="1"/>
  <c r="AE13" i="1" l="1"/>
  <c r="G11" i="3" s="1"/>
  <c r="R25" i="3" s="1"/>
  <c r="X11" i="1"/>
  <c r="Y10" i="1" s="1"/>
  <c r="AE17" i="1"/>
  <c r="I11" i="3" s="1"/>
  <c r="T25" i="3" s="1"/>
  <c r="X15" i="1"/>
  <c r="Y14" i="1" s="1"/>
  <c r="X17" i="1"/>
  <c r="Y16" i="1" s="1"/>
  <c r="AE15" i="1"/>
  <c r="H11" i="3" s="1"/>
  <c r="S25" i="3" s="1"/>
  <c r="X13" i="1"/>
  <c r="Y12" i="1" s="1"/>
  <c r="AE11" i="1"/>
  <c r="F11" i="3" s="1"/>
  <c r="Q25" i="3" s="1"/>
  <c r="C7" i="3"/>
  <c r="C5" i="3"/>
  <c r="C4" i="3"/>
  <c r="D7" i="3"/>
  <c r="D4" i="3"/>
  <c r="D6" i="3"/>
  <c r="D5" i="3"/>
  <c r="H5" i="3" l="1"/>
  <c r="H7" i="3"/>
  <c r="H4" i="3"/>
  <c r="C6" i="3"/>
  <c r="H6" i="3" s="1"/>
  <c r="S26" i="3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T26" i="3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R26" i="3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Q26" i="3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I6" i="3" l="1"/>
  <c r="I4" i="3"/>
  <c r="I7" i="3"/>
  <c r="I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<sst xmlns="http://schemas.openxmlformats.org/spreadsheetml/2006/main" count="924" uniqueCount="131">
  <si>
    <t>2025 DE World Tour Leaderboard</t>
  </si>
  <si>
    <t>Name</t>
  </si>
  <si>
    <t>Net</t>
  </si>
  <si>
    <t>3+</t>
  </si>
  <si>
    <t>Team</t>
  </si>
  <si>
    <t>Par 3</t>
  </si>
  <si>
    <t>Par 5</t>
  </si>
  <si>
    <t>Total</t>
  </si>
  <si>
    <t>Points behind lead</t>
  </si>
  <si>
    <t>3 putts</t>
  </si>
  <si>
    <t>💩</t>
  </si>
  <si>
    <t>Dave</t>
  </si>
  <si>
    <t>Scott</t>
  </si>
  <si>
    <t>Mitch</t>
  </si>
  <si>
    <t>Colby</t>
  </si>
  <si>
    <t>2025 DE World Tour Event Schedule</t>
  </si>
  <si>
    <t>Shit Trophy winner</t>
  </si>
  <si>
    <t>Net Score</t>
  </si>
  <si>
    <t>Points</t>
  </si>
  <si>
    <t>Date</t>
  </si>
  <si>
    <t>Course</t>
  </si>
  <si>
    <t>Teams</t>
  </si>
  <si>
    <t>Team Event</t>
  </si>
  <si>
    <t>Mitch Points</t>
  </si>
  <si>
    <t>Colby Points</t>
  </si>
  <si>
    <t>Scott Points</t>
  </si>
  <si>
    <t>Dave Points</t>
  </si>
  <si>
    <t>&lt;70</t>
  </si>
  <si>
    <t>January</t>
  </si>
  <si>
    <t>Magenta</t>
  </si>
  <si>
    <t>MT-DB, SP-CG</t>
  </si>
  <si>
    <t>Multiplier</t>
  </si>
  <si>
    <t>71-75</t>
  </si>
  <si>
    <t>February</t>
  </si>
  <si>
    <t>Toronto</t>
  </si>
  <si>
    <t>DB-SP, MT-CG</t>
  </si>
  <si>
    <t>Worst Ball</t>
  </si>
  <si>
    <t>76-80</t>
  </si>
  <si>
    <t>March</t>
  </si>
  <si>
    <t>Shortland</t>
  </si>
  <si>
    <t>81-85</t>
  </si>
  <si>
    <t>April</t>
  </si>
  <si>
    <t>86-90</t>
  </si>
  <si>
    <t>May</t>
  </si>
  <si>
    <t>91-100+</t>
  </si>
  <si>
    <t>June</t>
  </si>
  <si>
    <t>3+ points</t>
  </si>
  <si>
    <t>equal value</t>
  </si>
  <si>
    <t>July</t>
  </si>
  <si>
    <t>Par 3's</t>
  </si>
  <si>
    <t>August</t>
  </si>
  <si>
    <t>Par 5's</t>
  </si>
  <si>
    <t>September</t>
  </si>
  <si>
    <t>October</t>
  </si>
  <si>
    <t>-</t>
  </si>
  <si>
    <t>November</t>
  </si>
  <si>
    <t>December</t>
  </si>
  <si>
    <t>Cumulative scores</t>
  </si>
  <si>
    <t>2025 DE Handicap Trend</t>
  </si>
  <si>
    <t>Waratah</t>
  </si>
  <si>
    <t>Handicap --&gt;</t>
  </si>
  <si>
    <t>AVG20</t>
  </si>
  <si>
    <t>AVG8</t>
  </si>
  <si>
    <t>Score</t>
  </si>
  <si>
    <t>Rating</t>
  </si>
  <si>
    <t>Slope</t>
  </si>
  <si>
    <t>Differential</t>
  </si>
  <si>
    <t>Record of older scores</t>
  </si>
  <si>
    <t>Shortland Waters</t>
  </si>
  <si>
    <t>Merewether</t>
  </si>
  <si>
    <t>Kooindah Waters</t>
  </si>
  <si>
    <t>Gosford</t>
  </si>
  <si>
    <t>Shelly Beach</t>
  </si>
  <si>
    <t>Hunter Valley</t>
  </si>
  <si>
    <t>Toukley</t>
  </si>
  <si>
    <t>The Springs</t>
  </si>
  <si>
    <t>Wyong</t>
  </si>
  <si>
    <t>Cypress</t>
  </si>
  <si>
    <t>Belmont</t>
  </si>
  <si>
    <t>Nelson Bay</t>
  </si>
  <si>
    <t>Course Rating and Slope Database:</t>
  </si>
  <si>
    <t>https://golf.com.au/find-a-place-to-play?view=list&amp;filter=venue&amp;sort=distance&amp;latitude=-33.3101078&amp;longitude=151.522855&amp;distance=15</t>
  </si>
  <si>
    <r>
      <t xml:space="preserve">Golf Course - </t>
    </r>
    <r>
      <rPr>
        <b/>
        <sz val="11"/>
        <color theme="1"/>
        <rFont val="Calibri"/>
        <family val="2"/>
        <scheme val="minor"/>
      </rPr>
      <t>Magenta Shores</t>
    </r>
  </si>
  <si>
    <r>
      <t xml:space="preserve">Date: </t>
    </r>
    <r>
      <rPr>
        <b/>
        <sz val="11"/>
        <color theme="1"/>
        <rFont val="Calibri"/>
        <family val="2"/>
        <scheme val="minor"/>
      </rPr>
      <t>27/1/2026</t>
    </r>
  </si>
  <si>
    <t>Hole</t>
  </si>
  <si>
    <t>F/Nine</t>
  </si>
  <si>
    <t>B/Nine</t>
  </si>
  <si>
    <t>S/Pnts</t>
  </si>
  <si>
    <t>Par</t>
  </si>
  <si>
    <t>Index</t>
  </si>
  <si>
    <t>H/Cap</t>
  </si>
  <si>
    <t>pts</t>
  </si>
  <si>
    <t>Scratch rating</t>
  </si>
  <si>
    <t>Slope rating</t>
  </si>
  <si>
    <t>Golf Course - Toronto</t>
  </si>
  <si>
    <r>
      <t xml:space="preserve">Date: </t>
    </r>
    <r>
      <rPr>
        <b/>
        <sz val="11"/>
        <color theme="1"/>
        <rFont val="Calibri"/>
        <family val="2"/>
        <scheme val="minor"/>
      </rPr>
      <t>8/5/2026</t>
    </r>
  </si>
  <si>
    <r>
      <t xml:space="preserve">Golf Course - </t>
    </r>
    <r>
      <rPr>
        <b/>
        <sz val="11"/>
        <color theme="1"/>
        <rFont val="Calibri"/>
        <family val="2"/>
        <scheme val="minor"/>
      </rPr>
      <t>Shortland</t>
    </r>
  </si>
  <si>
    <r>
      <t xml:space="preserve">Date: </t>
    </r>
    <r>
      <rPr>
        <b/>
        <sz val="11"/>
        <color theme="1"/>
        <rFont val="Calibri"/>
        <family val="2"/>
        <scheme val="minor"/>
      </rPr>
      <t>1/6/2026</t>
    </r>
  </si>
  <si>
    <t>GA</t>
  </si>
  <si>
    <t>DAILY</t>
  </si>
  <si>
    <t>HANDICAP</t>
  </si>
  <si>
    <t>1.5 to 2.3</t>
  </si>
  <si>
    <t>12.9 to 13.7</t>
  </si>
  <si>
    <t>14 (mitch)</t>
  </si>
  <si>
    <t>2.4 to 3.3</t>
  </si>
  <si>
    <t>13.8 to 14.7</t>
  </si>
  <si>
    <t>3.4 to 4.2</t>
  </si>
  <si>
    <t>14.8 to 15.6</t>
  </si>
  <si>
    <t>16 (Dave)</t>
  </si>
  <si>
    <t>4.3 to 5.2</t>
  </si>
  <si>
    <t>15.7 to 16.6</t>
  </si>
  <si>
    <t>5.3 to 6.1</t>
  </si>
  <si>
    <t>16.7 to 17.5</t>
  </si>
  <si>
    <t>18 (Colby)</t>
  </si>
  <si>
    <t>6.2 to 7.1</t>
  </si>
  <si>
    <t>17.6 to 18.5</t>
  </si>
  <si>
    <t>7.2 to 8.0</t>
  </si>
  <si>
    <t>18.6 to 19.4</t>
  </si>
  <si>
    <t>8.1 to 9.0</t>
  </si>
  <si>
    <t>19.5 to 20.4</t>
  </si>
  <si>
    <t>9.1 to 9.9</t>
  </si>
  <si>
    <t>20.5 to 21.3</t>
  </si>
  <si>
    <t>10.0 to 10.9</t>
  </si>
  <si>
    <t>21.4 to 22.3</t>
  </si>
  <si>
    <t>23 (Scott)</t>
  </si>
  <si>
    <t>11.0 to 11.8</t>
  </si>
  <si>
    <t>22.4 to 23.2</t>
  </si>
  <si>
    <t>11.9 to 12.8</t>
  </si>
  <si>
    <t>23.3 to 54.0</t>
  </si>
  <si>
    <r>
      <t xml:space="preserve">Golf Course - </t>
    </r>
    <r>
      <rPr>
        <b/>
        <sz val="11"/>
        <color theme="1"/>
        <rFont val="Calibri"/>
        <family val="2"/>
        <scheme val="minor"/>
      </rPr>
      <t>Waratah</t>
    </r>
  </si>
  <si>
    <r>
      <t>Date: 19/6</t>
    </r>
    <r>
      <rPr>
        <b/>
        <sz val="11"/>
        <color theme="1"/>
        <rFont val="Calibri"/>
        <family val="2"/>
        <scheme val="minor"/>
      </rPr>
      <t>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</si>
</sst>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0;0;&quot;-&quot;"/>
    <numFmt numFmtId="166" formatCode="0.0"/>
    <numFmt numFmtId="167" formatCode="0.000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u/>
      <sz val="9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sz val="11"/>
      <color rgb="FF9C0006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rgb="FF663300"/>
      <name val="Calibri"/>
      <family val="2"/>
      <scheme val="minor"/>
    </font>
    <font>
      <sz val="12"/>
      <color theme="1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A1E50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4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slantDashDot">
        <color indexed="64"/>
      </left>
      <right style="double">
        <color indexed="64"/>
      </right>
      <top style="slantDashDot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double">
        <color indexed="64"/>
      </bottom>
      <diagonal/>
    </border>
    <border>
      <left style="double">
        <color indexed="64"/>
      </left>
      <right style="slantDashDot">
        <color indexed="64"/>
      </right>
      <top style="slantDashDot">
        <color indexed="64"/>
      </top>
      <bottom style="double">
        <color indexed="64"/>
      </bottom>
      <diagonal/>
    </border>
    <border>
      <left style="slantDashDot">
        <color indexed="64"/>
      </left>
      <right style="double">
        <color indexed="64"/>
      </right>
      <top style="double">
        <color indexed="64"/>
      </top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slantDashDot">
        <color indexed="64"/>
      </bottom>
      <diagonal/>
    </border>
    <border>
      <left style="double">
        <color indexed="64"/>
      </left>
      <right style="slantDashDot">
        <color indexed="64"/>
      </right>
      <top style="double">
        <color indexed="64"/>
      </top>
      <bottom style="slantDashDot">
        <color indexed="64"/>
      </bottom>
      <diagonal/>
    </border>
    <border>
      <left style="slantDashDot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slantDashDot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rgb="FF000000"/>
      </left>
      <right style="thin">
        <color theme="4" tint="0.39997558519241921"/>
      </right>
      <top style="medium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medium">
        <color rgb="FF000000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theme="5" tint="0.39997558519241921"/>
      </right>
      <top style="medium">
        <color rgb="FF000000"/>
      </top>
      <bottom style="thin">
        <color theme="5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 style="medium">
        <color rgb="FF000000"/>
      </top>
      <bottom style="thin">
        <color theme="5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5" tint="0.39997558519241921"/>
      </bottom>
      <diagonal/>
    </border>
    <border>
      <left style="medium">
        <color rgb="FF000000"/>
      </left>
      <right style="thin">
        <color theme="7" tint="0.39997558519241921"/>
      </right>
      <top style="medium">
        <color rgb="FF000000"/>
      </top>
      <bottom style="thin">
        <color theme="7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medium">
        <color rgb="FF000000"/>
      </top>
      <bottom style="thin">
        <color theme="7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7" tint="0.39997558519241921"/>
      </bottom>
      <diagonal/>
    </border>
    <border>
      <left style="medium">
        <color rgb="FF000000"/>
      </left>
      <right style="thin">
        <color theme="9" tint="0.39997558519241921"/>
      </right>
      <top style="medium">
        <color rgb="FF000000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rgb="FF000000"/>
      </top>
      <bottom style="thin">
        <color theme="9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9" tint="0.39997558519241921"/>
      </bottom>
      <diagonal/>
    </border>
    <border>
      <left style="medium">
        <color rgb="FF000000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rgb="FF000000"/>
      </left>
      <right style="medium">
        <color rgb="FF000000"/>
      </right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rgb="FF000000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000000"/>
      </left>
      <right style="medium">
        <color rgb="FF000000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000000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rgb="FF000000"/>
      </left>
      <right style="medium">
        <color rgb="FF000000"/>
      </right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rgb="FF000000"/>
      </left>
      <right style="thin">
        <color theme="4" tint="0.39997558519241921"/>
      </right>
      <top style="thin">
        <color theme="4" tint="0.39997558519241921"/>
      </top>
      <bottom style="medium">
        <color rgb="FF000000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  <border>
      <left style="medium">
        <color rgb="FF000000"/>
      </left>
      <right style="thin">
        <color theme="7" tint="0.39997558519241921"/>
      </right>
      <top style="thin">
        <color theme="7" tint="0.39997558519241921"/>
      </top>
      <bottom style="medium">
        <color rgb="FF000000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7" tint="0.39997558519241921"/>
      </top>
      <bottom style="medium">
        <color rgb="FF000000"/>
      </bottom>
      <diagonal/>
    </border>
    <border>
      <left style="medium">
        <color rgb="FF000000"/>
      </left>
      <right style="thin">
        <color theme="9" tint="0.39997558519241921"/>
      </right>
      <top style="thin">
        <color theme="9" tint="0.39997558519241921"/>
      </top>
      <bottom style="medium">
        <color rgb="FF000000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9" tint="0.39997558519241921"/>
      </top>
      <bottom style="medium">
        <color rgb="FF000000"/>
      </bottom>
      <diagonal/>
    </border>
    <border>
      <left style="medium">
        <color rgb="FF000000"/>
      </left>
      <right style="thin">
        <color theme="5" tint="0.39997558519241921"/>
      </right>
      <top style="thin">
        <color theme="5" tint="0.39997558519241921"/>
      </top>
      <bottom style="medium">
        <color rgb="FF000000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5" tint="0.39997558519241921"/>
      </top>
      <bottom style="medium">
        <color rgb="FF000000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8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5" borderId="0" applyNumberFormat="0" applyBorder="0" applyAlignment="0" applyProtection="0"/>
    <xf numFmtId="0" fontId="2" fillId="6" borderId="0" applyNumberFormat="0" applyBorder="0" applyAlignment="0" applyProtection="0"/>
    <xf numFmtId="0" fontId="3" fillId="7" borderId="0" applyNumberFormat="0" applyBorder="0" applyAlignment="0" applyProtection="0"/>
    <xf numFmtId="0" fontId="2" fillId="8" borderId="0" applyNumberFormat="0" applyBorder="0" applyAlignment="0" applyProtection="0"/>
    <xf numFmtId="0" fontId="3" fillId="9" borderId="0" applyNumberFormat="0" applyBorder="0" applyAlignment="0" applyProtection="0"/>
    <xf numFmtId="0" fontId="2" fillId="10" borderId="0" applyNumberFormat="0" applyBorder="0" applyAlignment="0" applyProtection="0"/>
    <xf numFmtId="0" fontId="6" fillId="11" borderId="11" applyNumberForma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9" fillId="0" borderId="0" applyNumberForma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8" fillId="15" borderId="0" applyNumberFormat="0" applyBorder="0" applyAlignment="0" applyProtection="0"/>
    <xf numFmtId="0" fontId="3" fillId="16" borderId="0" applyNumberFormat="0" applyBorder="0" applyAlignment="0" applyProtection="0"/>
  </cellStyleXfs>
  <cellXfs count="288">
    <xf numFmtId="0" fontId="0" fillId="0" borderId="0" xfId="0"/>
    <xf numFmtId="165" fontId="1" fillId="0" borderId="0" xfId="0" applyNumberFormat="1" applyFont="1"/>
    <xf numFmtId="165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1" fillId="0" borderId="7" xfId="0" applyNumberFormat="1" applyFont="1" applyBorder="1"/>
    <xf numFmtId="165" fontId="1" fillId="0" borderId="8" xfId="0" applyNumberFormat="1" applyFont="1" applyBorder="1"/>
    <xf numFmtId="165" fontId="0" fillId="0" borderId="0" xfId="0" applyNumberFormat="1" applyAlignment="1">
      <alignment horizontal="left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5" fillId="9" borderId="12" xfId="8" applyNumberFormat="1" applyFont="1" applyBorder="1" applyAlignment="1">
      <alignment horizontal="center" vertical="center"/>
    </xf>
    <xf numFmtId="165" fontId="2" fillId="8" borderId="14" xfId="7" applyNumberFormat="1" applyBorder="1" applyAlignment="1">
      <alignment horizontal="center" vertical="center"/>
    </xf>
    <xf numFmtId="165" fontId="2" fillId="6" borderId="12" xfId="5" applyNumberFormat="1" applyBorder="1" applyAlignment="1">
      <alignment horizontal="center" vertical="center"/>
    </xf>
    <xf numFmtId="165" fontId="2" fillId="10" borderId="12" xfId="9" applyNumberFormat="1" applyBorder="1" applyAlignment="1">
      <alignment horizontal="center" vertical="center"/>
    </xf>
    <xf numFmtId="165" fontId="2" fillId="3" borderId="15" xfId="2" applyNumberFormat="1" applyBorder="1" applyAlignment="1">
      <alignment horizontal="center" vertical="center"/>
    </xf>
    <xf numFmtId="165" fontId="2" fillId="8" borderId="16" xfId="7" applyNumberFormat="1" applyBorder="1" applyAlignment="1">
      <alignment horizontal="center" vertical="center"/>
    </xf>
    <xf numFmtId="165" fontId="2" fillId="6" borderId="17" xfId="5" applyNumberFormat="1" applyBorder="1" applyAlignment="1">
      <alignment horizontal="center" vertical="center"/>
    </xf>
    <xf numFmtId="165" fontId="2" fillId="10" borderId="17" xfId="9" applyNumberFormat="1" applyBorder="1" applyAlignment="1">
      <alignment horizontal="center" vertical="center"/>
    </xf>
    <xf numFmtId="165" fontId="2" fillId="3" borderId="18" xfId="2" applyNumberFormat="1" applyBorder="1" applyAlignment="1">
      <alignment horizontal="center" vertical="center"/>
    </xf>
    <xf numFmtId="165" fontId="2" fillId="10" borderId="20" xfId="9" applyNumberFormat="1" applyBorder="1" applyAlignment="1">
      <alignment horizontal="center" vertical="center"/>
    </xf>
    <xf numFmtId="165" fontId="7" fillId="12" borderId="13" xfId="10" applyNumberFormat="1" applyFont="1" applyFill="1" applyBorder="1" applyAlignment="1">
      <alignment horizontal="center" vertical="center"/>
    </xf>
    <xf numFmtId="0" fontId="4" fillId="12" borderId="16" xfId="10" applyFont="1" applyFill="1" applyBorder="1" applyAlignment="1">
      <alignment vertical="center"/>
    </xf>
    <xf numFmtId="0" fontId="4" fillId="12" borderId="12" xfId="10" applyFont="1" applyFill="1" applyBorder="1" applyAlignment="1">
      <alignment vertical="center"/>
    </xf>
    <xf numFmtId="0" fontId="4" fillId="12" borderId="19" xfId="10" applyFont="1" applyFill="1" applyBorder="1" applyAlignment="1">
      <alignment vertical="center"/>
    </xf>
    <xf numFmtId="0" fontId="4" fillId="0" borderId="0" xfId="10" applyFont="1" applyFill="1" applyBorder="1" applyAlignment="1">
      <alignment vertical="center"/>
    </xf>
    <xf numFmtId="165" fontId="2" fillId="0" borderId="0" xfId="7" applyNumberFormat="1" applyFill="1" applyBorder="1" applyAlignment="1">
      <alignment horizontal="center" vertical="center"/>
    </xf>
    <xf numFmtId="165" fontId="2" fillId="0" borderId="0" xfId="5" applyNumberFormat="1" applyFill="1" applyBorder="1" applyAlignment="1">
      <alignment horizontal="center" vertical="center"/>
    </xf>
    <xf numFmtId="165" fontId="2" fillId="0" borderId="0" xfId="9" applyNumberFormat="1" applyFill="1" applyBorder="1" applyAlignment="1">
      <alignment horizontal="center" vertical="center"/>
    </xf>
    <xf numFmtId="165" fontId="2" fillId="0" borderId="0" xfId="2" applyNumberFormat="1" applyFill="1" applyBorder="1" applyAlignment="1">
      <alignment horizontal="center" vertical="center"/>
    </xf>
    <xf numFmtId="165" fontId="2" fillId="4" borderId="12" xfId="3" applyNumberFormat="1" applyBorder="1" applyAlignment="1">
      <alignment horizontal="right"/>
    </xf>
    <xf numFmtId="165" fontId="2" fillId="4" borderId="12" xfId="3" applyNumberFormat="1" applyBorder="1" applyAlignment="1">
      <alignment horizontal="center"/>
    </xf>
    <xf numFmtId="165" fontId="2" fillId="4" borderId="14" xfId="3" applyNumberFormat="1" applyBorder="1" applyAlignment="1">
      <alignment horizontal="right"/>
    </xf>
    <xf numFmtId="165" fontId="2" fillId="4" borderId="14" xfId="3" applyNumberFormat="1" applyBorder="1" applyAlignment="1">
      <alignment horizontal="center"/>
    </xf>
    <xf numFmtId="165" fontId="2" fillId="13" borderId="12" xfId="11" applyNumberFormat="1" applyBorder="1"/>
    <xf numFmtId="165" fontId="2" fillId="13" borderId="12" xfId="11" applyNumberFormat="1" applyBorder="1" applyAlignment="1">
      <alignment horizontal="center"/>
    </xf>
    <xf numFmtId="165" fontId="2" fillId="13" borderId="12" xfId="11" applyNumberFormat="1" applyBorder="1" applyAlignment="1">
      <alignment horizontal="right"/>
    </xf>
    <xf numFmtId="165" fontId="2" fillId="6" borderId="12" xfId="5" applyNumberFormat="1" applyBorder="1"/>
    <xf numFmtId="165" fontId="2" fillId="6" borderId="12" xfId="5" applyNumberFormat="1" applyBorder="1" applyAlignment="1">
      <alignment horizontal="center"/>
    </xf>
    <xf numFmtId="165" fontId="2" fillId="6" borderId="12" xfId="5" applyNumberFormat="1" applyBorder="1" applyAlignment="1">
      <alignment horizontal="right"/>
    </xf>
    <xf numFmtId="165" fontId="2" fillId="10" borderId="12" xfId="9" applyNumberFormat="1" applyBorder="1"/>
    <xf numFmtId="165" fontId="2" fillId="10" borderId="12" xfId="9" applyNumberFormat="1" applyBorder="1" applyAlignment="1">
      <alignment horizontal="center"/>
    </xf>
    <xf numFmtId="165" fontId="2" fillId="10" borderId="12" xfId="9" applyNumberFormat="1" applyBorder="1" applyAlignment="1">
      <alignment horizontal="right"/>
    </xf>
    <xf numFmtId="165" fontId="2" fillId="3" borderId="12" xfId="2" applyNumberFormat="1" applyBorder="1"/>
    <xf numFmtId="165" fontId="2" fillId="3" borderId="12" xfId="2" applyNumberFormat="1" applyBorder="1" applyAlignment="1">
      <alignment horizontal="center"/>
    </xf>
    <xf numFmtId="165" fontId="2" fillId="3" borderId="12" xfId="2" applyNumberFormat="1" applyBorder="1" applyAlignment="1">
      <alignment horizontal="right"/>
    </xf>
    <xf numFmtId="165" fontId="1" fillId="13" borderId="12" xfId="11" applyNumberFormat="1" applyFont="1" applyBorder="1" applyAlignment="1">
      <alignment horizontal="center" vertical="center"/>
    </xf>
    <xf numFmtId="165" fontId="1" fillId="6" borderId="12" xfId="5" applyNumberFormat="1" applyFont="1" applyBorder="1" applyAlignment="1">
      <alignment horizontal="center" vertical="center"/>
    </xf>
    <xf numFmtId="165" fontId="1" fillId="10" borderId="12" xfId="9" applyNumberFormat="1" applyFont="1" applyBorder="1" applyAlignment="1">
      <alignment horizontal="center" vertical="center"/>
    </xf>
    <xf numFmtId="165" fontId="1" fillId="3" borderId="12" xfId="2" applyNumberFormat="1" applyFont="1" applyBorder="1" applyAlignment="1">
      <alignment horizontal="center" vertical="center"/>
    </xf>
    <xf numFmtId="0" fontId="10" fillId="0" borderId="0" xfId="14" applyFont="1" applyAlignment="1">
      <alignment vertical="center" wrapText="1"/>
    </xf>
    <xf numFmtId="0" fontId="2" fillId="0" borderId="0" xfId="14"/>
    <xf numFmtId="0" fontId="11" fillId="0" borderId="0" xfId="14" applyFont="1" applyAlignment="1">
      <alignment horizontal="center" vertical="center" wrapText="1"/>
    </xf>
    <xf numFmtId="166" fontId="11" fillId="0" borderId="0" xfId="14" applyNumberFormat="1" applyFont="1" applyAlignment="1">
      <alignment horizontal="center" vertical="center" wrapText="1"/>
    </xf>
    <xf numFmtId="0" fontId="10" fillId="0" borderId="0" xfId="14" applyFont="1" applyAlignment="1">
      <alignment horizontal="center" vertical="center" wrapText="1"/>
    </xf>
    <xf numFmtId="0" fontId="12" fillId="0" borderId="0" xfId="14" applyFont="1"/>
    <xf numFmtId="14" fontId="10" fillId="0" borderId="0" xfId="14" applyNumberFormat="1" applyFont="1" applyAlignment="1">
      <alignment horizontal="center" vertical="center" wrapText="1"/>
    </xf>
    <xf numFmtId="166" fontId="10" fillId="0" borderId="0" xfId="14" applyNumberFormat="1" applyFont="1" applyAlignment="1">
      <alignment horizontal="center" vertical="center" wrapText="1"/>
    </xf>
    <xf numFmtId="166" fontId="12" fillId="0" borderId="0" xfId="14" applyNumberFormat="1" applyFont="1"/>
    <xf numFmtId="14" fontId="10" fillId="0" borderId="0" xfId="14" applyNumberFormat="1" applyFont="1" applyAlignment="1">
      <alignment vertical="center" wrapText="1"/>
    </xf>
    <xf numFmtId="166" fontId="10" fillId="0" borderId="0" xfId="14" applyNumberFormat="1" applyFont="1" applyAlignment="1">
      <alignment wrapText="1"/>
    </xf>
    <xf numFmtId="166" fontId="10" fillId="0" borderId="0" xfId="14" applyNumberFormat="1" applyFont="1" applyAlignment="1">
      <alignment vertical="center" wrapText="1"/>
    </xf>
    <xf numFmtId="0" fontId="12" fillId="0" borderId="0" xfId="14" applyFont="1" applyAlignment="1">
      <alignment vertical="center"/>
    </xf>
    <xf numFmtId="14" fontId="15" fillId="0" borderId="0" xfId="14" applyNumberFormat="1" applyFont="1" applyAlignment="1">
      <alignment vertical="center" wrapText="1"/>
    </xf>
    <xf numFmtId="0" fontId="16" fillId="0" borderId="0" xfId="14" applyFont="1"/>
    <xf numFmtId="14" fontId="13" fillId="0" borderId="0" xfId="13" applyNumberFormat="1" applyFont="1" applyAlignment="1">
      <alignment vertical="center" wrapText="1"/>
    </xf>
    <xf numFmtId="0" fontId="14" fillId="0" borderId="0" xfId="14" applyFont="1"/>
    <xf numFmtId="166" fontId="17" fillId="0" borderId="23" xfId="14" applyNumberFormat="1" applyFont="1" applyBorder="1" applyAlignment="1">
      <alignment horizontal="center" vertical="center" wrapText="1"/>
    </xf>
    <xf numFmtId="166" fontId="17" fillId="0" borderId="24" xfId="14" applyNumberFormat="1" applyFont="1" applyBorder="1" applyAlignment="1">
      <alignment horizontal="center" vertical="center" wrapText="1"/>
    </xf>
    <xf numFmtId="0" fontId="2" fillId="0" borderId="0" xfId="14" applyAlignment="1">
      <alignment horizontal="center" vertical="center"/>
    </xf>
    <xf numFmtId="165" fontId="2" fillId="4" borderId="17" xfId="3" applyNumberFormat="1" applyBorder="1" applyAlignment="1">
      <alignment horizontal="center"/>
    </xf>
    <xf numFmtId="165" fontId="2" fillId="4" borderId="16" xfId="3" applyNumberFormat="1" applyBorder="1" applyAlignment="1">
      <alignment horizontal="center"/>
    </xf>
    <xf numFmtId="165" fontId="1" fillId="13" borderId="17" xfId="11" applyNumberFormat="1" applyFont="1" applyBorder="1" applyAlignment="1">
      <alignment horizontal="center"/>
    </xf>
    <xf numFmtId="165" fontId="1" fillId="6" borderId="17" xfId="5" applyNumberFormat="1" applyFont="1" applyBorder="1" applyAlignment="1">
      <alignment horizontal="center"/>
    </xf>
    <xf numFmtId="165" fontId="1" fillId="10" borderId="17" xfId="9" applyNumberFormat="1" applyFont="1" applyBorder="1" applyAlignment="1">
      <alignment horizontal="center"/>
    </xf>
    <xf numFmtId="165" fontId="1" fillId="3" borderId="17" xfId="2" applyNumberFormat="1" applyFont="1" applyBorder="1" applyAlignment="1">
      <alignment horizontal="center"/>
    </xf>
    <xf numFmtId="165" fontId="2" fillId="14" borderId="25" xfId="12" applyNumberFormat="1" applyBorder="1" applyAlignment="1">
      <alignment horizontal="center"/>
    </xf>
    <xf numFmtId="165" fontId="2" fillId="14" borderId="26" xfId="12" applyNumberFormat="1" applyBorder="1" applyAlignment="1">
      <alignment horizontal="center"/>
    </xf>
    <xf numFmtId="165" fontId="2" fillId="14" borderId="27" xfId="12" applyNumberFormat="1" applyBorder="1" applyAlignment="1">
      <alignment horizontal="center"/>
    </xf>
    <xf numFmtId="165" fontId="1" fillId="3" borderId="28" xfId="2" applyNumberFormat="1" applyFont="1" applyBorder="1" applyAlignment="1">
      <alignment horizontal="center"/>
    </xf>
    <xf numFmtId="165" fontId="1" fillId="3" borderId="29" xfId="2" applyNumberFormat="1" applyFont="1" applyBorder="1" applyAlignment="1">
      <alignment horizontal="center"/>
    </xf>
    <xf numFmtId="165" fontId="1" fillId="3" borderId="30" xfId="2" applyNumberFormat="1" applyFont="1" applyBorder="1" applyAlignment="1">
      <alignment horizontal="center"/>
    </xf>
    <xf numFmtId="165" fontId="1" fillId="3" borderId="31" xfId="2" applyNumberFormat="1" applyFont="1" applyBorder="1" applyAlignment="1">
      <alignment horizontal="center"/>
    </xf>
    <xf numFmtId="165" fontId="1" fillId="3" borderId="15" xfId="2" applyNumberFormat="1" applyFont="1" applyBorder="1" applyAlignment="1">
      <alignment horizontal="center"/>
    </xf>
    <xf numFmtId="165" fontId="1" fillId="3" borderId="32" xfId="2" applyNumberFormat="1" applyFont="1" applyBorder="1" applyAlignment="1">
      <alignment horizontal="center"/>
    </xf>
    <xf numFmtId="165" fontId="1" fillId="10" borderId="28" xfId="9" applyNumberFormat="1" applyFont="1" applyBorder="1" applyAlignment="1">
      <alignment horizontal="center"/>
    </xf>
    <xf numFmtId="165" fontId="1" fillId="10" borderId="29" xfId="9" applyNumberFormat="1" applyFont="1" applyBorder="1" applyAlignment="1">
      <alignment horizontal="center"/>
    </xf>
    <xf numFmtId="165" fontId="1" fillId="10" borderId="30" xfId="9" applyNumberFormat="1" applyFont="1" applyBorder="1" applyAlignment="1">
      <alignment horizontal="center"/>
    </xf>
    <xf numFmtId="165" fontId="1" fillId="10" borderId="31" xfId="9" applyNumberFormat="1" applyFont="1" applyBorder="1" applyAlignment="1">
      <alignment horizontal="center"/>
    </xf>
    <xf numFmtId="165" fontId="1" fillId="10" borderId="15" xfId="9" applyNumberFormat="1" applyFont="1" applyBorder="1" applyAlignment="1">
      <alignment horizontal="center"/>
    </xf>
    <xf numFmtId="165" fontId="1" fillId="10" borderId="32" xfId="9" applyNumberFormat="1" applyFont="1" applyBorder="1" applyAlignment="1">
      <alignment horizontal="center"/>
    </xf>
    <xf numFmtId="165" fontId="1" fillId="6" borderId="28" xfId="5" applyNumberFormat="1" applyFont="1" applyBorder="1" applyAlignment="1">
      <alignment horizontal="center"/>
    </xf>
    <xf numFmtId="165" fontId="1" fillId="6" borderId="29" xfId="5" applyNumberFormat="1" applyFont="1" applyBorder="1" applyAlignment="1">
      <alignment horizontal="center"/>
    </xf>
    <xf numFmtId="165" fontId="1" fillId="6" borderId="30" xfId="5" applyNumberFormat="1" applyFont="1" applyBorder="1" applyAlignment="1">
      <alignment horizontal="center"/>
    </xf>
    <xf numFmtId="165" fontId="1" fillId="6" borderId="31" xfId="5" applyNumberFormat="1" applyFont="1" applyBorder="1" applyAlignment="1">
      <alignment horizontal="center"/>
    </xf>
    <xf numFmtId="165" fontId="1" fillId="6" borderId="15" xfId="5" applyNumberFormat="1" applyFont="1" applyBorder="1" applyAlignment="1">
      <alignment horizontal="center"/>
    </xf>
    <xf numFmtId="165" fontId="1" fillId="6" borderId="32" xfId="5" applyNumberFormat="1" applyFont="1" applyBorder="1" applyAlignment="1">
      <alignment horizontal="center"/>
    </xf>
    <xf numFmtId="165" fontId="1" fillId="13" borderId="28" xfId="11" applyNumberFormat="1" applyFont="1" applyBorder="1" applyAlignment="1">
      <alignment horizontal="center"/>
    </xf>
    <xf numFmtId="165" fontId="1" fillId="13" borderId="29" xfId="11" applyNumberFormat="1" applyFont="1" applyBorder="1" applyAlignment="1">
      <alignment horizontal="center"/>
    </xf>
    <xf numFmtId="165" fontId="1" fillId="13" borderId="30" xfId="11" applyNumberFormat="1" applyFont="1" applyBorder="1" applyAlignment="1">
      <alignment horizontal="center"/>
    </xf>
    <xf numFmtId="165" fontId="1" fillId="13" borderId="31" xfId="11" applyNumberFormat="1" applyFont="1" applyBorder="1" applyAlignment="1">
      <alignment horizontal="center"/>
    </xf>
    <xf numFmtId="165" fontId="1" fillId="13" borderId="15" xfId="11" applyNumberFormat="1" applyFont="1" applyBorder="1" applyAlignment="1">
      <alignment horizontal="center"/>
    </xf>
    <xf numFmtId="165" fontId="1" fillId="13" borderId="32" xfId="11" applyNumberFormat="1" applyFont="1" applyBorder="1" applyAlignment="1">
      <alignment horizontal="center"/>
    </xf>
    <xf numFmtId="165" fontId="2" fillId="14" borderId="28" xfId="12" applyNumberFormat="1" applyBorder="1" applyAlignment="1">
      <alignment horizontal="center"/>
    </xf>
    <xf numFmtId="165" fontId="2" fillId="14" borderId="29" xfId="12" applyNumberFormat="1" applyBorder="1" applyAlignment="1">
      <alignment horizontal="center"/>
    </xf>
    <xf numFmtId="165" fontId="2" fillId="14" borderId="30" xfId="12" applyNumberFormat="1" applyBorder="1" applyAlignment="1">
      <alignment horizontal="center"/>
    </xf>
    <xf numFmtId="165" fontId="2" fillId="14" borderId="31" xfId="12" applyNumberFormat="1" applyBorder="1" applyAlignment="1">
      <alignment horizontal="center"/>
    </xf>
    <xf numFmtId="165" fontId="2" fillId="14" borderId="15" xfId="12" applyNumberFormat="1" applyBorder="1" applyAlignment="1">
      <alignment horizontal="center"/>
    </xf>
    <xf numFmtId="165" fontId="2" fillId="14" borderId="32" xfId="12" applyNumberFormat="1" applyBorder="1" applyAlignment="1">
      <alignment horizontal="center"/>
    </xf>
    <xf numFmtId="165" fontId="1" fillId="0" borderId="0" xfId="11" applyNumberFormat="1" applyFont="1" applyFill="1" applyBorder="1" applyAlignment="1">
      <alignment horizontal="center" vertical="center"/>
    </xf>
    <xf numFmtId="165" fontId="1" fillId="0" borderId="0" xfId="5" applyNumberFormat="1" applyFont="1" applyFill="1" applyBorder="1" applyAlignment="1">
      <alignment horizontal="center" vertical="center"/>
    </xf>
    <xf numFmtId="165" fontId="1" fillId="0" borderId="0" xfId="9" applyNumberFormat="1" applyFont="1" applyFill="1" applyBorder="1" applyAlignment="1">
      <alignment horizontal="center" vertical="center"/>
    </xf>
    <xf numFmtId="165" fontId="1" fillId="0" borderId="0" xfId="2" applyNumberFormat="1" applyFont="1" applyFill="1" applyBorder="1" applyAlignment="1">
      <alignment horizontal="center" vertical="center"/>
    </xf>
    <xf numFmtId="165" fontId="2" fillId="0" borderId="0" xfId="3" applyNumberFormat="1" applyFill="1" applyBorder="1" applyAlignment="1">
      <alignment horizontal="center" vertical="center"/>
    </xf>
    <xf numFmtId="165" fontId="2" fillId="0" borderId="0" xfId="11" applyNumberFormat="1" applyFill="1" applyBorder="1" applyAlignment="1">
      <alignment horizontal="center" vertical="center"/>
    </xf>
    <xf numFmtId="164" fontId="1" fillId="0" borderId="0" xfId="15" applyFont="1" applyFill="1" applyBorder="1" applyAlignment="1">
      <alignment horizontal="center" vertical="center"/>
    </xf>
    <xf numFmtId="165" fontId="1" fillId="3" borderId="12" xfId="2" applyNumberFormat="1" applyFont="1" applyBorder="1" applyAlignment="1">
      <alignment horizontal="center"/>
    </xf>
    <xf numFmtId="165" fontId="1" fillId="10" borderId="12" xfId="9" applyNumberFormat="1" applyFont="1" applyBorder="1" applyAlignment="1">
      <alignment horizontal="center"/>
    </xf>
    <xf numFmtId="165" fontId="1" fillId="6" borderId="12" xfId="5" applyNumberFormat="1" applyFont="1" applyBorder="1" applyAlignment="1">
      <alignment horizontal="center"/>
    </xf>
    <xf numFmtId="165" fontId="1" fillId="13" borderId="12" xfId="11" applyNumberFormat="1" applyFont="1" applyBorder="1" applyAlignment="1">
      <alignment horizontal="center"/>
    </xf>
    <xf numFmtId="165" fontId="18" fillId="15" borderId="29" xfId="16" applyNumberFormat="1" applyBorder="1" applyAlignment="1">
      <alignment horizontal="center"/>
    </xf>
    <xf numFmtId="0" fontId="4" fillId="12" borderId="16" xfId="10" applyFont="1" applyFill="1" applyBorder="1" applyAlignment="1">
      <alignment horizontal="center" vertical="center"/>
    </xf>
    <xf numFmtId="0" fontId="19" fillId="2" borderId="12" xfId="1" applyFont="1" applyBorder="1" applyAlignment="1">
      <alignment horizontal="center" vertical="center" wrapText="1"/>
    </xf>
    <xf numFmtId="0" fontId="19" fillId="9" borderId="12" xfId="8" applyFont="1" applyBorder="1" applyAlignment="1">
      <alignment horizontal="center" vertical="center" wrapText="1"/>
    </xf>
    <xf numFmtId="0" fontId="19" fillId="5" borderId="12" xfId="4" applyFont="1" applyBorder="1" applyAlignment="1">
      <alignment horizontal="center" vertical="center" wrapText="1"/>
    </xf>
    <xf numFmtId="0" fontId="20" fillId="5" borderId="0" xfId="4" applyFont="1" applyAlignment="1">
      <alignment horizontal="center" vertical="center" wrapText="1"/>
    </xf>
    <xf numFmtId="166" fontId="20" fillId="5" borderId="0" xfId="4" applyNumberFormat="1" applyFont="1" applyAlignment="1">
      <alignment horizontal="center" vertical="center" wrapText="1"/>
    </xf>
    <xf numFmtId="166" fontId="20" fillId="5" borderId="0" xfId="4" applyNumberFormat="1" applyFont="1" applyAlignment="1">
      <alignment horizontal="center" vertical="center"/>
    </xf>
    <xf numFmtId="0" fontId="20" fillId="16" borderId="0" xfId="17" applyFont="1" applyAlignment="1">
      <alignment horizontal="center" vertical="center" wrapText="1"/>
    </xf>
    <xf numFmtId="166" fontId="20" fillId="16" borderId="0" xfId="17" applyNumberFormat="1" applyFont="1" applyAlignment="1">
      <alignment horizontal="center" vertical="center" wrapText="1"/>
    </xf>
    <xf numFmtId="166" fontId="20" fillId="16" borderId="0" xfId="17" applyNumberFormat="1" applyFont="1" applyAlignment="1">
      <alignment horizontal="center" vertical="center"/>
    </xf>
    <xf numFmtId="0" fontId="19" fillId="16" borderId="12" xfId="17" applyFont="1" applyBorder="1" applyAlignment="1">
      <alignment horizontal="center" vertical="center" wrapText="1"/>
    </xf>
    <xf numFmtId="0" fontId="20" fillId="9" borderId="0" xfId="8" applyFont="1" applyAlignment="1">
      <alignment horizontal="center" vertical="center" wrapText="1"/>
    </xf>
    <xf numFmtId="166" fontId="20" fillId="9" borderId="0" xfId="8" applyNumberFormat="1" applyFont="1" applyAlignment="1">
      <alignment horizontal="center" vertical="center" wrapText="1"/>
    </xf>
    <xf numFmtId="166" fontId="20" fillId="9" borderId="0" xfId="8" applyNumberFormat="1" applyFont="1" applyAlignment="1">
      <alignment horizontal="center" vertical="center"/>
    </xf>
    <xf numFmtId="0" fontId="20" fillId="2" borderId="0" xfId="1" applyFont="1" applyAlignment="1">
      <alignment horizontal="center" vertical="center" wrapText="1"/>
    </xf>
    <xf numFmtId="166" fontId="20" fillId="2" borderId="0" xfId="1" applyNumberFormat="1" applyFont="1" applyAlignment="1">
      <alignment horizontal="center" vertical="center" wrapText="1"/>
    </xf>
    <xf numFmtId="166" fontId="20" fillId="2" borderId="0" xfId="1" applyNumberFormat="1" applyFont="1" applyAlignment="1">
      <alignment horizontal="center" vertical="center"/>
    </xf>
    <xf numFmtId="167" fontId="19" fillId="16" borderId="12" xfId="17" applyNumberFormat="1" applyFont="1" applyBorder="1" applyAlignment="1">
      <alignment horizontal="center" vertical="center"/>
    </xf>
    <xf numFmtId="167" fontId="19" fillId="5" borderId="12" xfId="4" applyNumberFormat="1" applyFont="1" applyBorder="1" applyAlignment="1">
      <alignment horizontal="center" vertical="center"/>
    </xf>
    <xf numFmtId="167" fontId="19" fillId="9" borderId="12" xfId="8" applyNumberFormat="1" applyFont="1" applyBorder="1" applyAlignment="1">
      <alignment horizontal="center" vertical="center"/>
    </xf>
    <xf numFmtId="167" fontId="19" fillId="2" borderId="12" xfId="1" applyNumberFormat="1" applyFont="1" applyBorder="1" applyAlignment="1">
      <alignment horizontal="center" vertical="center"/>
    </xf>
    <xf numFmtId="164" fontId="2" fillId="0" borderId="0" xfId="15" applyFill="1" applyBorder="1" applyAlignment="1">
      <alignment horizontal="center" vertical="center"/>
    </xf>
    <xf numFmtId="164" fontId="4" fillId="0" borderId="0" xfId="15" applyFont="1" applyFill="1" applyBorder="1" applyAlignment="1">
      <alignment vertical="center"/>
    </xf>
    <xf numFmtId="0" fontId="0" fillId="0" borderId="21" xfId="0" applyBorder="1"/>
    <xf numFmtId="165" fontId="0" fillId="0" borderId="21" xfId="0" applyNumberFormat="1" applyBorder="1"/>
    <xf numFmtId="165" fontId="0" fillId="0" borderId="34" xfId="0" applyNumberFormat="1" applyBorder="1"/>
    <xf numFmtId="0" fontId="5" fillId="0" borderId="0" xfId="10" applyFont="1" applyFill="1" applyBorder="1" applyAlignment="1">
      <alignment vertical="center"/>
    </xf>
    <xf numFmtId="0" fontId="4" fillId="12" borderId="12" xfId="10" applyFont="1" applyFill="1" applyBorder="1" applyAlignment="1">
      <alignment horizontal="center" vertical="center"/>
    </xf>
    <xf numFmtId="0" fontId="4" fillId="12" borderId="19" xfId="10" applyFont="1" applyFill="1" applyBorder="1" applyAlignment="1">
      <alignment horizontal="center" vertical="center"/>
    </xf>
    <xf numFmtId="167" fontId="2" fillId="8" borderId="16" xfId="7" applyNumberFormat="1" applyBorder="1" applyAlignment="1">
      <alignment horizontal="center" vertical="center"/>
    </xf>
    <xf numFmtId="167" fontId="2" fillId="8" borderId="14" xfId="7" applyNumberFormat="1" applyBorder="1" applyAlignment="1">
      <alignment horizontal="center" vertical="center"/>
    </xf>
    <xf numFmtId="167" fontId="2" fillId="6" borderId="17" xfId="5" applyNumberFormat="1" applyBorder="1" applyAlignment="1">
      <alignment horizontal="center" vertical="center"/>
    </xf>
    <xf numFmtId="167" fontId="2" fillId="6" borderId="12" xfId="5" applyNumberFormat="1" applyBorder="1" applyAlignment="1">
      <alignment horizontal="center" vertical="center"/>
    </xf>
    <xf numFmtId="167" fontId="2" fillId="10" borderId="17" xfId="9" applyNumberFormat="1" applyBorder="1" applyAlignment="1">
      <alignment horizontal="center" vertical="center"/>
    </xf>
    <xf numFmtId="167" fontId="2" fillId="10" borderId="12" xfId="9" applyNumberFormat="1" applyBorder="1" applyAlignment="1">
      <alignment horizontal="center" vertical="center"/>
    </xf>
    <xf numFmtId="167" fontId="2" fillId="3" borderId="18" xfId="2" applyNumberFormat="1" applyBorder="1" applyAlignment="1">
      <alignment horizontal="center" vertical="center"/>
    </xf>
    <xf numFmtId="167" fontId="2" fillId="3" borderId="15" xfId="2" applyNumberFormat="1" applyBorder="1" applyAlignment="1">
      <alignment horizontal="center" vertical="center"/>
    </xf>
    <xf numFmtId="0" fontId="4" fillId="12" borderId="17" xfId="10" applyFont="1" applyFill="1" applyBorder="1" applyAlignment="1">
      <alignment horizontal="center" vertical="center"/>
    </xf>
    <xf numFmtId="0" fontId="4" fillId="12" borderId="33" xfId="10" applyFont="1" applyFill="1" applyBorder="1" applyAlignment="1">
      <alignment horizontal="center" vertical="center"/>
    </xf>
    <xf numFmtId="14" fontId="10" fillId="17" borderId="35" xfId="14" applyNumberFormat="1" applyFont="1" applyFill="1" applyBorder="1" applyAlignment="1">
      <alignment horizontal="center" vertical="center" wrapText="1"/>
    </xf>
    <xf numFmtId="0" fontId="10" fillId="17" borderId="36" xfId="14" applyFont="1" applyFill="1" applyBorder="1" applyAlignment="1">
      <alignment horizontal="center" vertical="center" wrapText="1"/>
    </xf>
    <xf numFmtId="166" fontId="17" fillId="17" borderId="37" xfId="14" applyNumberFormat="1" applyFont="1" applyFill="1" applyBorder="1" applyAlignment="1">
      <alignment horizontal="center" vertical="center" wrapText="1"/>
    </xf>
    <xf numFmtId="14" fontId="10" fillId="18" borderId="39" xfId="14" applyNumberFormat="1" applyFont="1" applyFill="1" applyBorder="1" applyAlignment="1">
      <alignment horizontal="center" vertical="center" wrapText="1"/>
    </xf>
    <xf numFmtId="0" fontId="10" fillId="18" borderId="40" xfId="14" applyFont="1" applyFill="1" applyBorder="1" applyAlignment="1">
      <alignment horizontal="center" vertical="center" wrapText="1"/>
    </xf>
    <xf numFmtId="166" fontId="17" fillId="18" borderId="41" xfId="14" applyNumberFormat="1" applyFont="1" applyFill="1" applyBorder="1" applyAlignment="1">
      <alignment horizontal="center" vertical="center" wrapText="1"/>
    </xf>
    <xf numFmtId="14" fontId="10" fillId="20" borderId="45" xfId="14" applyNumberFormat="1" applyFont="1" applyFill="1" applyBorder="1" applyAlignment="1">
      <alignment horizontal="center" vertical="center" wrapText="1"/>
    </xf>
    <xf numFmtId="0" fontId="10" fillId="20" borderId="46" xfId="14" applyFont="1" applyFill="1" applyBorder="1" applyAlignment="1">
      <alignment horizontal="center" vertical="center" wrapText="1"/>
    </xf>
    <xf numFmtId="166" fontId="17" fillId="20" borderId="47" xfId="14" applyNumberFormat="1" applyFont="1" applyFill="1" applyBorder="1" applyAlignment="1">
      <alignment horizontal="center" vertical="center" wrapText="1"/>
    </xf>
    <xf numFmtId="14" fontId="10" fillId="19" borderId="42" xfId="14" applyNumberFormat="1" applyFont="1" applyFill="1" applyBorder="1" applyAlignment="1">
      <alignment horizontal="center" vertical="center" wrapText="1"/>
    </xf>
    <xf numFmtId="0" fontId="10" fillId="19" borderId="43" xfId="14" applyFont="1" applyFill="1" applyBorder="1" applyAlignment="1">
      <alignment horizontal="center" vertical="center" wrapText="1"/>
    </xf>
    <xf numFmtId="166" fontId="17" fillId="19" borderId="44" xfId="14" applyNumberFormat="1" applyFont="1" applyFill="1" applyBorder="1" applyAlignment="1">
      <alignment horizontal="center" vertical="center" wrapText="1"/>
    </xf>
    <xf numFmtId="165" fontId="2" fillId="8" borderId="17" xfId="7" applyNumberFormat="1" applyBorder="1" applyAlignment="1">
      <alignment horizontal="center" vertical="center"/>
    </xf>
    <xf numFmtId="165" fontId="2" fillId="8" borderId="12" xfId="7" applyNumberFormat="1" applyBorder="1" applyAlignment="1">
      <alignment horizontal="center" vertical="center"/>
    </xf>
    <xf numFmtId="14" fontId="10" fillId="24" borderId="57" xfId="14" applyNumberFormat="1" applyFont="1" applyFill="1" applyBorder="1" applyAlignment="1">
      <alignment horizontal="center" vertical="center" wrapText="1"/>
    </xf>
    <xf numFmtId="0" fontId="10" fillId="24" borderId="58" xfId="14" applyFont="1" applyFill="1" applyBorder="1" applyAlignment="1">
      <alignment horizontal="center" vertical="center" wrapText="1"/>
    </xf>
    <xf numFmtId="166" fontId="17" fillId="24" borderId="59" xfId="14" applyNumberFormat="1" applyFont="1" applyFill="1" applyBorder="1" applyAlignment="1">
      <alignment horizontal="center" vertical="center" wrapText="1"/>
    </xf>
    <xf numFmtId="14" fontId="10" fillId="23" borderId="54" xfId="14" applyNumberFormat="1" applyFont="1" applyFill="1" applyBorder="1" applyAlignment="1">
      <alignment horizontal="center" vertical="center" wrapText="1"/>
    </xf>
    <xf numFmtId="0" fontId="10" fillId="23" borderId="55" xfId="14" applyFont="1" applyFill="1" applyBorder="1" applyAlignment="1">
      <alignment horizontal="center" vertical="center" wrapText="1"/>
    </xf>
    <xf numFmtId="166" fontId="17" fillId="23" borderId="56" xfId="14" applyNumberFormat="1" applyFont="1" applyFill="1" applyBorder="1" applyAlignment="1">
      <alignment horizontal="center" vertical="center" wrapText="1"/>
    </xf>
    <xf numFmtId="14" fontId="10" fillId="22" borderId="51" xfId="14" applyNumberFormat="1" applyFont="1" applyFill="1" applyBorder="1" applyAlignment="1">
      <alignment horizontal="center" vertical="center" wrapText="1"/>
    </xf>
    <xf numFmtId="0" fontId="10" fillId="22" borderId="52" xfId="14" applyFont="1" applyFill="1" applyBorder="1" applyAlignment="1">
      <alignment horizontal="center" vertical="center" wrapText="1"/>
    </xf>
    <xf numFmtId="166" fontId="17" fillId="22" borderId="53" xfId="14" applyNumberFormat="1" applyFont="1" applyFill="1" applyBorder="1" applyAlignment="1">
      <alignment horizontal="center" vertical="center" wrapText="1"/>
    </xf>
    <xf numFmtId="14" fontId="10" fillId="21" borderId="48" xfId="14" applyNumberFormat="1" applyFont="1" applyFill="1" applyBorder="1" applyAlignment="1">
      <alignment horizontal="center" vertical="center" wrapText="1"/>
    </xf>
    <xf numFmtId="0" fontId="10" fillId="21" borderId="49" xfId="14" applyFont="1" applyFill="1" applyBorder="1" applyAlignment="1">
      <alignment horizontal="center" vertical="center" wrapText="1"/>
    </xf>
    <xf numFmtId="166" fontId="17" fillId="21" borderId="50" xfId="14" applyNumberFormat="1" applyFont="1" applyFill="1" applyBorder="1" applyAlignment="1">
      <alignment horizontal="center" vertical="center" wrapText="1"/>
    </xf>
    <xf numFmtId="14" fontId="10" fillId="17" borderId="48" xfId="14" applyNumberFormat="1" applyFont="1" applyFill="1" applyBorder="1" applyAlignment="1">
      <alignment horizontal="center" vertical="center" wrapText="1"/>
    </xf>
    <xf numFmtId="0" fontId="10" fillId="17" borderId="49" xfId="14" applyFont="1" applyFill="1" applyBorder="1" applyAlignment="1">
      <alignment horizontal="center" vertical="center" wrapText="1"/>
    </xf>
    <xf numFmtId="166" fontId="17" fillId="17" borderId="50" xfId="14" applyNumberFormat="1" applyFont="1" applyFill="1" applyBorder="1" applyAlignment="1">
      <alignment horizontal="center" vertical="center" wrapText="1"/>
    </xf>
    <xf numFmtId="14" fontId="10" fillId="19" borderId="51" xfId="14" applyNumberFormat="1" applyFont="1" applyFill="1" applyBorder="1" applyAlignment="1">
      <alignment horizontal="center" vertical="center" wrapText="1"/>
    </xf>
    <xf numFmtId="0" fontId="10" fillId="19" borderId="52" xfId="14" applyFont="1" applyFill="1" applyBorder="1" applyAlignment="1">
      <alignment horizontal="center" vertical="center" wrapText="1"/>
    </xf>
    <xf numFmtId="166" fontId="17" fillId="19" borderId="53" xfId="14" applyNumberFormat="1" applyFont="1" applyFill="1" applyBorder="1" applyAlignment="1">
      <alignment horizontal="center" vertical="center" wrapText="1"/>
    </xf>
    <xf numFmtId="14" fontId="10" fillId="20" borderId="54" xfId="14" applyNumberFormat="1" applyFont="1" applyFill="1" applyBorder="1" applyAlignment="1">
      <alignment horizontal="center" vertical="center" wrapText="1"/>
    </xf>
    <xf numFmtId="0" fontId="10" fillId="20" borderId="55" xfId="14" applyFont="1" applyFill="1" applyBorder="1" applyAlignment="1">
      <alignment horizontal="center" vertical="center" wrapText="1"/>
    </xf>
    <xf numFmtId="166" fontId="17" fillId="20" borderId="56" xfId="14" applyNumberFormat="1" applyFont="1" applyFill="1" applyBorder="1" applyAlignment="1">
      <alignment horizontal="center" vertical="center" wrapText="1"/>
    </xf>
    <xf numFmtId="14" fontId="10" fillId="18" borderId="57" xfId="14" applyNumberFormat="1" applyFont="1" applyFill="1" applyBorder="1" applyAlignment="1">
      <alignment horizontal="center" vertical="center" wrapText="1"/>
    </xf>
    <xf numFmtId="0" fontId="10" fillId="18" borderId="58" xfId="14" applyFont="1" applyFill="1" applyBorder="1" applyAlignment="1">
      <alignment horizontal="center" vertical="center" wrapText="1"/>
    </xf>
    <xf numFmtId="166" fontId="17" fillId="18" borderId="59" xfId="14" applyNumberFormat="1" applyFont="1" applyFill="1" applyBorder="1" applyAlignment="1">
      <alignment horizontal="center" vertical="center" wrapText="1"/>
    </xf>
    <xf numFmtId="165" fontId="0" fillId="10" borderId="17" xfId="9" applyNumberFormat="1" applyFont="1" applyBorder="1" applyAlignment="1">
      <alignment horizontal="center" vertical="center"/>
    </xf>
    <xf numFmtId="165" fontId="0" fillId="6" borderId="17" xfId="5" applyNumberFormat="1" applyFont="1" applyBorder="1" applyAlignment="1">
      <alignment horizontal="center" vertical="center"/>
    </xf>
    <xf numFmtId="165" fontId="1" fillId="8" borderId="16" xfId="7" applyNumberFormat="1" applyFont="1" applyBorder="1" applyAlignment="1">
      <alignment horizontal="center" vertical="center"/>
    </xf>
    <xf numFmtId="165" fontId="0" fillId="3" borderId="18" xfId="2" applyNumberFormat="1" applyFont="1" applyBorder="1" applyAlignment="1">
      <alignment horizontal="center" vertical="center"/>
    </xf>
    <xf numFmtId="165" fontId="0" fillId="8" borderId="16" xfId="7" applyNumberFormat="1" applyFont="1" applyBorder="1" applyAlignment="1">
      <alignment horizontal="center" vertical="center"/>
    </xf>
    <xf numFmtId="14" fontId="10" fillId="21" borderId="60" xfId="14" applyNumberFormat="1" applyFont="1" applyFill="1" applyBorder="1" applyAlignment="1">
      <alignment horizontal="center" vertical="center" wrapText="1"/>
    </xf>
    <xf numFmtId="0" fontId="10" fillId="21" borderId="61" xfId="14" applyFont="1" applyFill="1" applyBorder="1" applyAlignment="1">
      <alignment horizontal="center" vertical="center" wrapText="1"/>
    </xf>
    <xf numFmtId="166" fontId="17" fillId="21" borderId="62" xfId="14" applyNumberFormat="1" applyFont="1" applyFill="1" applyBorder="1" applyAlignment="1">
      <alignment horizontal="center" vertical="center" wrapText="1"/>
    </xf>
    <xf numFmtId="14" fontId="10" fillId="22" borderId="63" xfId="14" applyNumberFormat="1" applyFont="1" applyFill="1" applyBorder="1" applyAlignment="1">
      <alignment horizontal="center" vertical="center" wrapText="1"/>
    </xf>
    <xf numFmtId="0" fontId="10" fillId="22" borderId="64" xfId="14" applyFont="1" applyFill="1" applyBorder="1" applyAlignment="1">
      <alignment horizontal="center" vertical="center" wrapText="1"/>
    </xf>
    <xf numFmtId="166" fontId="17" fillId="22" borderId="65" xfId="14" applyNumberFormat="1" applyFont="1" applyFill="1" applyBorder="1" applyAlignment="1">
      <alignment horizontal="center" vertical="center" wrapText="1"/>
    </xf>
    <xf numFmtId="14" fontId="10" fillId="23" borderId="66" xfId="14" applyNumberFormat="1" applyFont="1" applyFill="1" applyBorder="1" applyAlignment="1">
      <alignment horizontal="center" vertical="center" wrapText="1"/>
    </xf>
    <xf numFmtId="0" fontId="10" fillId="23" borderId="67" xfId="14" applyFont="1" applyFill="1" applyBorder="1" applyAlignment="1">
      <alignment horizontal="center" vertical="center" wrapText="1"/>
    </xf>
    <xf numFmtId="166" fontId="17" fillId="23" borderId="68" xfId="14" applyNumberFormat="1" applyFont="1" applyFill="1" applyBorder="1" applyAlignment="1">
      <alignment horizontal="center" vertical="center" wrapText="1"/>
    </xf>
    <xf numFmtId="14" fontId="10" fillId="24" borderId="69" xfId="14" applyNumberFormat="1" applyFont="1" applyFill="1" applyBorder="1" applyAlignment="1">
      <alignment horizontal="center" vertical="center" wrapText="1"/>
    </xf>
    <xf numFmtId="0" fontId="10" fillId="24" borderId="70" xfId="14" applyFont="1" applyFill="1" applyBorder="1" applyAlignment="1">
      <alignment horizontal="center" vertical="center" wrapText="1"/>
    </xf>
    <xf numFmtId="166" fontId="17" fillId="24" borderId="71" xfId="14" applyNumberFormat="1" applyFont="1" applyFill="1" applyBorder="1" applyAlignment="1">
      <alignment horizontal="center" vertical="center" wrapText="1"/>
    </xf>
    <xf numFmtId="14" fontId="11" fillId="0" borderId="0" xfId="14" applyNumberFormat="1" applyFont="1" applyAlignment="1">
      <alignment horizontal="center" vertical="center" wrapText="1"/>
    </xf>
    <xf numFmtId="165" fontId="2" fillId="25" borderId="16" xfId="7" applyNumberFormat="1" applyFill="1" applyBorder="1" applyAlignment="1">
      <alignment horizontal="center" vertical="center"/>
    </xf>
    <xf numFmtId="165" fontId="2" fillId="25" borderId="17" xfId="5" applyNumberFormat="1" applyFill="1" applyBorder="1" applyAlignment="1">
      <alignment horizontal="center" vertical="center"/>
    </xf>
    <xf numFmtId="165" fontId="2" fillId="26" borderId="16" xfId="7" applyNumberFormat="1" applyFill="1" applyBorder="1" applyAlignment="1">
      <alignment horizontal="center" vertical="center"/>
    </xf>
    <xf numFmtId="165" fontId="2" fillId="26" borderId="17" xfId="5" applyNumberFormat="1" applyFill="1" applyBorder="1" applyAlignment="1">
      <alignment horizontal="center" vertical="center"/>
    </xf>
    <xf numFmtId="165" fontId="2" fillId="27" borderId="16" xfId="7" applyNumberFormat="1" applyFill="1" applyBorder="1" applyAlignment="1">
      <alignment horizontal="center" vertical="center"/>
    </xf>
    <xf numFmtId="165" fontId="2" fillId="27" borderId="17" xfId="5" applyNumberFormat="1" applyFill="1" applyBorder="1" applyAlignment="1">
      <alignment horizontal="center" vertical="center"/>
    </xf>
    <xf numFmtId="165" fontId="2" fillId="28" borderId="14" xfId="7" applyNumberFormat="1" applyFill="1" applyBorder="1" applyAlignment="1">
      <alignment horizontal="center" vertical="center"/>
    </xf>
    <xf numFmtId="165" fontId="2" fillId="28" borderId="12" xfId="5" applyNumberFormat="1" applyFill="1" applyBorder="1" applyAlignment="1">
      <alignment horizontal="center" vertical="center"/>
    </xf>
    <xf numFmtId="14" fontId="10" fillId="0" borderId="22" xfId="14" applyNumberFormat="1" applyFont="1" applyBorder="1" applyAlignment="1">
      <alignment horizontal="center" vertical="center" wrapText="1"/>
    </xf>
    <xf numFmtId="0" fontId="10" fillId="0" borderId="22" xfId="14" applyFont="1" applyBorder="1" applyAlignment="1">
      <alignment horizontal="center" vertical="center" wrapText="1"/>
    </xf>
    <xf numFmtId="165" fontId="2" fillId="26" borderId="12" xfId="11" applyNumberFormat="1" applyFill="1" applyBorder="1" applyAlignment="1">
      <alignment horizontal="center"/>
    </xf>
    <xf numFmtId="165" fontId="2" fillId="27" borderId="12" xfId="11" applyNumberFormat="1" applyFill="1" applyBorder="1" applyAlignment="1">
      <alignment horizontal="center"/>
    </xf>
    <xf numFmtId="165" fontId="2" fillId="28" borderId="12" xfId="11" applyNumberFormat="1" applyFill="1" applyBorder="1" applyAlignment="1">
      <alignment horizontal="center"/>
    </xf>
    <xf numFmtId="165" fontId="2" fillId="3" borderId="16" xfId="2" applyNumberFormat="1" applyBorder="1" applyAlignment="1">
      <alignment horizontal="center" vertical="center"/>
    </xf>
    <xf numFmtId="165" fontId="2" fillId="6" borderId="18" xfId="5" applyNumberFormat="1" applyBorder="1" applyAlignment="1">
      <alignment horizontal="center" vertical="center"/>
    </xf>
    <xf numFmtId="165" fontId="2" fillId="3" borderId="14" xfId="2" applyNumberFormat="1" applyBorder="1" applyAlignment="1">
      <alignment horizontal="center" vertical="center"/>
    </xf>
    <xf numFmtId="165" fontId="2" fillId="6" borderId="15" xfId="5" applyNumberFormat="1" applyBorder="1" applyAlignment="1">
      <alignment horizontal="center" vertical="center"/>
    </xf>
    <xf numFmtId="165" fontId="2" fillId="3" borderId="19" xfId="2" applyNumberFormat="1" applyBorder="1" applyAlignment="1">
      <alignment horizontal="center" vertical="center"/>
    </xf>
    <xf numFmtId="165" fontId="2" fillId="6" borderId="21" xfId="5" applyNumberFormat="1" applyBorder="1" applyAlignment="1">
      <alignment horizontal="center" vertical="center"/>
    </xf>
    <xf numFmtId="165" fontId="2" fillId="8" borderId="20" xfId="7" applyNumberFormat="1" applyBorder="1" applyAlignment="1">
      <alignment horizontal="center" vertical="center"/>
    </xf>
    <xf numFmtId="165" fontId="5" fillId="2" borderId="14" xfId="1" applyNumberFormat="1" applyFont="1" applyBorder="1" applyAlignment="1">
      <alignment horizontal="center" vertical="center"/>
    </xf>
    <xf numFmtId="165" fontId="5" fillId="5" borderId="15" xfId="4" applyNumberFormat="1" applyFont="1" applyBorder="1" applyAlignment="1">
      <alignment horizontal="center" vertical="center"/>
    </xf>
    <xf numFmtId="165" fontId="5" fillId="7" borderId="12" xfId="6" applyNumberFormat="1" applyFont="1" applyBorder="1" applyAlignment="1">
      <alignment horizontal="center" vertical="center"/>
    </xf>
    <xf numFmtId="165" fontId="21" fillId="12" borderId="13" xfId="10" applyNumberFormat="1" applyFont="1" applyFill="1" applyBorder="1" applyAlignment="1">
      <alignment horizontal="center" vertical="center" wrapText="1"/>
    </xf>
    <xf numFmtId="165" fontId="14" fillId="3" borderId="14" xfId="2" applyNumberFormat="1" applyFont="1" applyBorder="1" applyAlignment="1">
      <alignment horizontal="center" vertical="center"/>
    </xf>
    <xf numFmtId="165" fontId="14" fillId="10" borderId="12" xfId="9" applyNumberFormat="1" applyFont="1" applyBorder="1" applyAlignment="1">
      <alignment horizontal="center" vertical="center"/>
    </xf>
    <xf numFmtId="165" fontId="14" fillId="8" borderId="12" xfId="7" applyNumberFormat="1" applyFont="1" applyBorder="1" applyAlignment="1">
      <alignment horizontal="center" vertical="center"/>
    </xf>
    <xf numFmtId="165" fontId="14" fillId="6" borderId="15" xfId="5" applyNumberFormat="1" applyFont="1" applyBorder="1" applyAlignment="1">
      <alignment horizontal="center" vertical="center"/>
    </xf>
    <xf numFmtId="165" fontId="22" fillId="12" borderId="13" xfId="10" applyNumberFormat="1" applyFont="1" applyFill="1" applyBorder="1" applyAlignment="1">
      <alignment horizontal="center" vertical="center" wrapText="1"/>
    </xf>
    <xf numFmtId="165" fontId="1" fillId="6" borderId="17" xfId="5" applyNumberFormat="1" applyFont="1" applyBorder="1" applyAlignment="1">
      <alignment horizontal="center" vertical="center"/>
    </xf>
    <xf numFmtId="165" fontId="1" fillId="4" borderId="12" xfId="3" applyNumberFormat="1" applyFont="1" applyBorder="1" applyAlignment="1">
      <alignment horizontal="center"/>
    </xf>
    <xf numFmtId="165" fontId="1" fillId="4" borderId="14" xfId="3" applyNumberFormat="1" applyFont="1" applyBorder="1" applyAlignment="1">
      <alignment horizontal="center"/>
    </xf>
    <xf numFmtId="166" fontId="23" fillId="0" borderId="24" xfId="14" applyNumberFormat="1" applyFont="1" applyBorder="1" applyAlignment="1">
      <alignment horizontal="center" vertical="center" wrapText="1"/>
    </xf>
    <xf numFmtId="165" fontId="1" fillId="10" borderId="17" xfId="9" applyNumberFormat="1" applyFont="1" applyBorder="1" applyAlignment="1">
      <alignment horizontal="center" vertical="center"/>
    </xf>
    <xf numFmtId="0" fontId="24" fillId="29" borderId="73" xfId="0" applyFont="1" applyFill="1" applyBorder="1" applyAlignment="1">
      <alignment horizontal="center" vertical="center" wrapText="1"/>
    </xf>
    <xf numFmtId="0" fontId="24" fillId="29" borderId="74" xfId="0" applyFont="1" applyFill="1" applyBorder="1" applyAlignment="1">
      <alignment horizontal="center" vertical="center" wrapText="1"/>
    </xf>
    <xf numFmtId="0" fontId="24" fillId="29" borderId="75" xfId="0" applyFont="1" applyFill="1" applyBorder="1" applyAlignment="1">
      <alignment horizontal="center" vertical="center" wrapText="1"/>
    </xf>
    <xf numFmtId="0" fontId="24" fillId="29" borderId="76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25" fillId="30" borderId="74" xfId="0" applyFont="1" applyFill="1" applyBorder="1" applyAlignment="1">
      <alignment horizontal="center" vertical="center" wrapText="1"/>
    </xf>
    <xf numFmtId="0" fontId="26" fillId="30" borderId="76" xfId="0" applyFont="1" applyFill="1" applyBorder="1" applyAlignment="1">
      <alignment horizontal="center" vertical="center" wrapText="1"/>
    </xf>
    <xf numFmtId="0" fontId="25" fillId="31" borderId="74" xfId="0" applyFont="1" applyFill="1" applyBorder="1" applyAlignment="1">
      <alignment horizontal="center" vertical="center" wrapText="1"/>
    </xf>
    <xf numFmtId="0" fontId="26" fillId="31" borderId="76" xfId="0" applyFont="1" applyFill="1" applyBorder="1" applyAlignment="1">
      <alignment horizontal="center" vertical="center" wrapText="1"/>
    </xf>
    <xf numFmtId="165" fontId="0" fillId="32" borderId="0" xfId="0" applyNumberFormat="1" applyFill="1"/>
    <xf numFmtId="165" fontId="0" fillId="4" borderId="12" xfId="3" applyNumberFormat="1" applyFont="1" applyBorder="1" applyAlignment="1">
      <alignment horizontal="left" vertical="center"/>
    </xf>
    <xf numFmtId="165" fontId="2" fillId="4" borderId="12" xfId="3" applyNumberFormat="1" applyBorder="1" applyAlignment="1">
      <alignment horizontal="left" vertical="center"/>
    </xf>
    <xf numFmtId="165" fontId="2" fillId="4" borderId="14" xfId="3" applyNumberFormat="1" applyBorder="1" applyAlignment="1">
      <alignment horizontal="left" vertical="center"/>
    </xf>
    <xf numFmtId="0" fontId="5" fillId="12" borderId="17" xfId="10" applyFont="1" applyFill="1" applyBorder="1" applyAlignment="1">
      <alignment horizontal="center" vertical="center"/>
    </xf>
    <xf numFmtId="0" fontId="5" fillId="12" borderId="20" xfId="10" applyFont="1" applyFill="1" applyBorder="1" applyAlignment="1">
      <alignment horizontal="center" vertical="center"/>
    </xf>
    <xf numFmtId="0" fontId="5" fillId="12" borderId="33" xfId="10" applyFont="1" applyFill="1" applyBorder="1" applyAlignment="1">
      <alignment horizontal="center" vertical="center"/>
    </xf>
    <xf numFmtId="0" fontId="4" fillId="12" borderId="17" xfId="10" applyFont="1" applyFill="1" applyBorder="1" applyAlignment="1">
      <alignment horizontal="center" vertical="center"/>
    </xf>
    <xf numFmtId="0" fontId="4" fillId="12" borderId="33" xfId="10" applyFont="1" applyFill="1" applyBorder="1" applyAlignment="1">
      <alignment horizontal="center" vertical="center"/>
    </xf>
    <xf numFmtId="0" fontId="5" fillId="12" borderId="18" xfId="10" applyFont="1" applyFill="1" applyBorder="1" applyAlignment="1">
      <alignment horizontal="center" vertical="center"/>
    </xf>
    <xf numFmtId="0" fontId="5" fillId="12" borderId="21" xfId="10" applyFont="1" applyFill="1" applyBorder="1" applyAlignment="1">
      <alignment horizontal="center" vertical="center"/>
    </xf>
    <xf numFmtId="0" fontId="4" fillId="12" borderId="20" xfId="10" applyFont="1" applyFill="1" applyBorder="1" applyAlignment="1">
      <alignment horizontal="center" vertical="center"/>
    </xf>
    <xf numFmtId="0" fontId="5" fillId="12" borderId="72" xfId="10" applyFont="1" applyFill="1" applyBorder="1" applyAlignment="1">
      <alignment horizontal="center" vertical="center"/>
    </xf>
    <xf numFmtId="0" fontId="5" fillId="12" borderId="0" xfId="10" applyFont="1" applyFill="1" applyBorder="1" applyAlignment="1">
      <alignment horizontal="center" vertical="center"/>
    </xf>
    <xf numFmtId="14" fontId="10" fillId="0" borderId="0" xfId="14" applyNumberFormat="1" applyFont="1" applyAlignment="1">
      <alignment horizontal="right" vertical="center" wrapText="1"/>
    </xf>
    <xf numFmtId="14" fontId="9" fillId="0" borderId="0" xfId="13" applyNumberFormat="1" applyAlignment="1">
      <alignment horizontal="center" vertical="center" wrapText="1"/>
    </xf>
    <xf numFmtId="0" fontId="2" fillId="0" borderId="38" xfId="14" applyBorder="1" applyAlignment="1">
      <alignment horizontal="center"/>
    </xf>
    <xf numFmtId="14" fontId="9" fillId="0" borderId="0" xfId="13" applyNumberFormat="1" applyAlignment="1">
      <alignment horizontal="left" vertical="center" wrapText="1"/>
    </xf>
    <xf numFmtId="0" fontId="10" fillId="0" borderId="77" xfId="0" applyFont="1" applyBorder="1" applyAlignment="1">
      <alignment vertical="center" wrapText="1"/>
    </xf>
    <xf numFmtId="0" fontId="2" fillId="0" borderId="0" xfId="14" applyAlignment="1"/>
    <xf numFmtId="0" fontId="14" fillId="0" borderId="0" xfId="14" applyFont="1" applyAlignment="1"/>
  </cellXfs>
  <cellStyles count="18">
    <cellStyle name="40% - Accent3" xfId="3" builtinId="39"/>
    <cellStyle name="60% - Accent1" xfId="11" builtinId="32"/>
    <cellStyle name="60% - Accent2" xfId="2" builtinId="36"/>
    <cellStyle name="60% - Accent3" xfId="12" builtinId="40"/>
    <cellStyle name="60% - Accent4" xfId="5" builtinId="44"/>
    <cellStyle name="60% - Accent5" xfId="7" builtinId="48"/>
    <cellStyle name="60% - Accent6" xfId="9" builtinId="52"/>
    <cellStyle name="Accent1" xfId="17" builtinId="29"/>
    <cellStyle name="Accent2" xfId="1" builtinId="33"/>
    <cellStyle name="Accent4" xfId="4" builtinId="41"/>
    <cellStyle name="Accent5" xfId="6" builtinId="45"/>
    <cellStyle name="Accent6" xfId="8" builtinId="49"/>
    <cellStyle name="Bad" xfId="16" builtinId="27"/>
    <cellStyle name="Check Cell" xfId="10" builtinId="23"/>
    <cellStyle name="Currency" xfId="15" builtinId="4"/>
    <cellStyle name="Hyperlink" xfId="13" builtinId="8"/>
    <cellStyle name="Normal" xfId="0" builtinId="0"/>
    <cellStyle name="Normal 2" xfId="14" xr:uid="{42CB56E6-DBD4-4281-8B92-7B00A4ABE410}"/>
  </cellStyles>
  <dxfs count="6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left style="medium">
          <color rgb="FF000000"/>
        </lef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left style="medium">
          <color rgb="FF000000"/>
        </lef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left style="medium">
          <color rgb="FF000000"/>
        </lef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.0"/>
      <fill>
        <patternFill patternType="none">
          <fgColor rgb="FFCC4125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rgb="FFFFF2CC"/>
          <bgColor auto="1"/>
        </patternFill>
      </fill>
      <alignment horizontal="center" vertical="center" textRotation="0" wrapText="1" indent="0" justifyLastLine="0" shrinkToFit="0" readingOrder="0"/>
      <border outline="0"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rgb="FFFFF2CC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rgb="FFFFF2CC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rgb="FFFFF2CC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d/mm/yyyy"/>
      <fill>
        <patternFill patternType="none">
          <fgColor rgb="FFFFF2CC"/>
          <bgColor auto="1"/>
        </patternFill>
      </fill>
      <alignment horizontal="center" vertical="center" textRotation="0" wrapText="1" indent="0" justifyLastLine="0" shrinkToFit="0" readingOrder="0"/>
    </dxf>
    <dxf>
      <border outline="0">
        <left style="medium">
          <color rgb="FF000000"/>
        </lef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</dxfs>
  <tableStyles count="0" defaultTableStyle="TableStyleMedium2" defaultPivotStyle="PivotStyleLight16"/>
  <colors>
    <mruColors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DEWT Point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'Events &amp; Leaderboard'!$F$10</c:f>
              <c:strCache>
                <c:ptCount val="1"/>
                <c:pt idx="0">
                  <c:v>Mitch Points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'Events &amp; Leaderboard'!$B$11:$B$22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'Events &amp; Leaderboard'!$F$11:$F$22</c:f>
              <c:numCache>
                <c:formatCode>0;0;"-"</c:formatCode>
                <c:ptCount val="12"/>
                <c:pt idx="0">
                  <c:v>62</c:v>
                </c:pt>
                <c:pt idx="1">
                  <c:v>45</c:v>
                </c:pt>
                <c:pt idx="2">
                  <c:v>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C6-4DF0-8BBC-B2F4E9AA89A9}"/>
            </c:ext>
          </c:extLst>
        </c:ser>
        <c:ser>
          <c:idx val="1"/>
          <c:order val="1"/>
          <c:tx>
            <c:strRef>
              <c:f>'Events &amp; Leaderboard'!$G$10</c:f>
              <c:strCache>
                <c:ptCount val="1"/>
                <c:pt idx="0">
                  <c:v>Colby Points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'Events &amp; Leaderboard'!$B$11:$B$22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'Events &amp; Leaderboard'!$G$11:$G$22</c:f>
              <c:numCache>
                <c:formatCode>0;0;"-"</c:formatCode>
                <c:ptCount val="12"/>
                <c:pt idx="0">
                  <c:v>57</c:v>
                </c:pt>
                <c:pt idx="1">
                  <c:v>76</c:v>
                </c:pt>
                <c:pt idx="2">
                  <c:v>77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C6-4DF0-8BBC-B2F4E9AA89A9}"/>
            </c:ext>
          </c:extLst>
        </c:ser>
        <c:ser>
          <c:idx val="2"/>
          <c:order val="2"/>
          <c:tx>
            <c:strRef>
              <c:f>'Events &amp; Leaderboard'!$H$10</c:f>
              <c:strCache>
                <c:ptCount val="1"/>
                <c:pt idx="0">
                  <c:v>Scott Points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'Events &amp; Leaderboard'!$B$11:$B$22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'Events &amp; Leaderboard'!$H$11:$H$22</c:f>
              <c:numCache>
                <c:formatCode>0;0;"-"</c:formatCode>
                <c:ptCount val="12"/>
                <c:pt idx="0">
                  <c:v>63</c:v>
                </c:pt>
                <c:pt idx="1">
                  <c:v>55</c:v>
                </c:pt>
                <c:pt idx="2">
                  <c:v>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C6-4DF0-8BBC-B2F4E9AA89A9}"/>
            </c:ext>
          </c:extLst>
        </c:ser>
        <c:ser>
          <c:idx val="3"/>
          <c:order val="3"/>
          <c:tx>
            <c:strRef>
              <c:f>'Events &amp; Leaderboard'!$I$10</c:f>
              <c:strCache>
                <c:ptCount val="1"/>
                <c:pt idx="0">
                  <c:v>Dave Points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'Events &amp; Leaderboard'!$B$11:$B$22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'Events &amp; Leaderboard'!$I$11:$I$22</c:f>
              <c:numCache>
                <c:formatCode>0;0;"-"</c:formatCode>
                <c:ptCount val="12"/>
                <c:pt idx="0">
                  <c:v>78</c:v>
                </c:pt>
                <c:pt idx="1">
                  <c:v>55</c:v>
                </c:pt>
                <c:pt idx="2">
                  <c:v>30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C6-4DF0-8BBC-B2F4E9AA8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88080"/>
        <c:axId val="1571216"/>
      </c:lineChart>
      <c:catAx>
        <c:axId val="8008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216"/>
        <c:crosses val="autoZero"/>
        <c:auto val="1"/>
        <c:lblAlgn val="ctr"/>
        <c:lblOffset val="100"/>
        <c:noMultiLvlLbl val="0"/>
      </c:catAx>
      <c:valAx>
        <c:axId val="157121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2025 Handicap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303110408752319E-2"/>
          <c:y val="0.16291603548067918"/>
          <c:w val="0.90256082706363605"/>
          <c:h val="0.64429905182337255"/>
        </c:manualLayout>
      </c:layout>
      <c:lineChart>
        <c:grouping val="standard"/>
        <c:varyColors val="0"/>
        <c:ser>
          <c:idx val="0"/>
          <c:order val="0"/>
          <c:tx>
            <c:strRef>
              <c:f>'Events &amp; Leaderboard'!$D$25</c:f>
              <c:strCache>
                <c:ptCount val="1"/>
                <c:pt idx="0">
                  <c:v>Mitch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'Events &amp; Leaderboard'!$D$26:$D$37</c:f>
              <c:numCache>
                <c:formatCode>0.000</c:formatCode>
                <c:ptCount val="12"/>
                <c:pt idx="0">
                  <c:v>13.194000000000001</c:v>
                </c:pt>
                <c:pt idx="1">
                  <c:v>13.194000000000001</c:v>
                </c:pt>
                <c:pt idx="2">
                  <c:v>13.194000000000001</c:v>
                </c:pt>
                <c:pt idx="3">
                  <c:v>13.193612203923683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89-41A0-A14B-92656A53BEB2}"/>
            </c:ext>
          </c:extLst>
        </c:ser>
        <c:ser>
          <c:idx val="1"/>
          <c:order val="1"/>
          <c:tx>
            <c:strRef>
              <c:f>'Events &amp; Leaderboard'!$E$25</c:f>
              <c:strCache>
                <c:ptCount val="1"/>
                <c:pt idx="0">
                  <c:v>Colby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'Events &amp; Leaderboard'!$E$26:$E$37</c:f>
              <c:numCache>
                <c:formatCode>0.000</c:formatCode>
                <c:ptCount val="12"/>
                <c:pt idx="0">
                  <c:v>17.100999999999999</c:v>
                </c:pt>
                <c:pt idx="1">
                  <c:v>17.033999999999999</c:v>
                </c:pt>
                <c:pt idx="2">
                  <c:v>16.84</c:v>
                </c:pt>
                <c:pt idx="3">
                  <c:v>16.67398703777819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9-41A0-A14B-92656A53BEB2}"/>
            </c:ext>
          </c:extLst>
        </c:ser>
        <c:ser>
          <c:idx val="2"/>
          <c:order val="2"/>
          <c:tx>
            <c:strRef>
              <c:f>'Events &amp; Leaderboard'!$F$25</c:f>
              <c:strCache>
                <c:ptCount val="1"/>
                <c:pt idx="0">
                  <c:v>Scott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alpha val="92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'Events &amp; Leaderboard'!$F$26:$F$37</c:f>
              <c:numCache>
                <c:formatCode>0.000</c:formatCode>
                <c:ptCount val="12"/>
                <c:pt idx="0">
                  <c:v>21.513000000000002</c:v>
                </c:pt>
                <c:pt idx="1">
                  <c:v>21.513000000000002</c:v>
                </c:pt>
                <c:pt idx="2">
                  <c:v>21.513000000000002</c:v>
                </c:pt>
                <c:pt idx="3">
                  <c:v>21.614828893236037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89-41A0-A14B-92656A53BEB2}"/>
            </c:ext>
          </c:extLst>
        </c:ser>
        <c:ser>
          <c:idx val="3"/>
          <c:order val="3"/>
          <c:tx>
            <c:strRef>
              <c:f>'Events &amp; Leaderboard'!$G$25</c:f>
              <c:strCache>
                <c:ptCount val="1"/>
                <c:pt idx="0">
                  <c:v>Dave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'Events &amp; Leaderboard'!$G$26:$G$37</c:f>
              <c:numCache>
                <c:formatCode>0.000</c:formatCode>
                <c:ptCount val="12"/>
                <c:pt idx="0">
                  <c:v>15.326000000000001</c:v>
                </c:pt>
                <c:pt idx="1">
                  <c:v>15.071999999999999</c:v>
                </c:pt>
                <c:pt idx="2">
                  <c:v>15.071999999999999</c:v>
                </c:pt>
                <c:pt idx="3">
                  <c:v>15.078311711419413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89-41A0-A14B-92656A53B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956272"/>
        <c:axId val="208964912"/>
      </c:lineChart>
      <c:catAx>
        <c:axId val="208956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4912"/>
        <c:crosses val="autoZero"/>
        <c:auto val="1"/>
        <c:lblAlgn val="ctr"/>
        <c:lblOffset val="100"/>
        <c:noMultiLvlLbl val="0"/>
      </c:catAx>
      <c:valAx>
        <c:axId val="208964912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562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Cumulative scores</a:t>
            </a:r>
          </a:p>
          <a:p>
            <a:pPr>
              <a:defRPr/>
            </a:pP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'Events &amp; Leaderboard'!$Q$23:$Q$24</c:f>
              <c:strCache>
                <c:ptCount val="2"/>
                <c:pt idx="0">
                  <c:v>Cumulative scores</c:v>
                </c:pt>
                <c:pt idx="1">
                  <c:v>Mitch Points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'Events &amp; Leaderboard'!$Q$25:$Q$36</c15:sqref>
                  </c15:fullRef>
                </c:ext>
              </c:extLst>
              <c:f>'Events &amp; Leaderboard'!$Q$25:$Q$27</c:f>
              <c:numCache>
                <c:formatCode>0;0;"-"</c:formatCode>
                <c:ptCount val="3"/>
                <c:pt idx="0">
                  <c:v>62</c:v>
                </c:pt>
                <c:pt idx="1">
                  <c:v>107</c:v>
                </c:pt>
                <c:pt idx="2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1D-4D77-B32A-E1C24ED47BBF}"/>
            </c:ext>
          </c:extLst>
        </c:ser>
        <c:ser>
          <c:idx val="1"/>
          <c:order val="1"/>
          <c:tx>
            <c:strRef>
              <c:f>'Events &amp; Leaderboard'!$R$23:$R$24</c:f>
              <c:strCache>
                <c:ptCount val="2"/>
                <c:pt idx="0">
                  <c:v>Cumulative scores</c:v>
                </c:pt>
                <c:pt idx="1">
                  <c:v>Colby Points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'Events &amp; Leaderboard'!$R$25:$R$36</c15:sqref>
                  </c15:fullRef>
                </c:ext>
              </c:extLst>
              <c:f>'Events &amp; Leaderboard'!$R$25:$R$27</c:f>
              <c:numCache>
                <c:formatCode>0;0;"-"</c:formatCode>
                <c:ptCount val="3"/>
                <c:pt idx="0">
                  <c:v>57</c:v>
                </c:pt>
                <c:pt idx="1">
                  <c:v>133</c:v>
                </c:pt>
                <c:pt idx="2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1D-4D77-B32A-E1C24ED47BBF}"/>
            </c:ext>
          </c:extLst>
        </c:ser>
        <c:ser>
          <c:idx val="2"/>
          <c:order val="2"/>
          <c:tx>
            <c:strRef>
              <c:f>'Events &amp; Leaderboard'!$S$23:$S$24</c:f>
              <c:strCache>
                <c:ptCount val="2"/>
                <c:pt idx="0">
                  <c:v>Cumulative scores</c:v>
                </c:pt>
                <c:pt idx="1">
                  <c:v>Scott Points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'Events &amp; Leaderboard'!$S$25:$S$36</c15:sqref>
                  </c15:fullRef>
                </c:ext>
              </c:extLst>
              <c:f>'Events &amp; Leaderboard'!$S$25:$S$27</c:f>
              <c:numCache>
                <c:formatCode>0;0;"-"</c:formatCode>
                <c:ptCount val="3"/>
                <c:pt idx="0">
                  <c:v>63</c:v>
                </c:pt>
                <c:pt idx="1">
                  <c:v>118</c:v>
                </c:pt>
                <c:pt idx="2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1D-4D77-B32A-E1C24ED47BBF}"/>
            </c:ext>
          </c:extLst>
        </c:ser>
        <c:ser>
          <c:idx val="3"/>
          <c:order val="3"/>
          <c:tx>
            <c:strRef>
              <c:f>'Events &amp; Leaderboard'!$T$23:$T$24</c:f>
              <c:strCache>
                <c:ptCount val="2"/>
                <c:pt idx="0">
                  <c:v>Cumulative scores</c:v>
                </c:pt>
                <c:pt idx="1">
                  <c:v>Dave Points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'Events &amp; Leaderboard'!$T$25:$T$36</c15:sqref>
                  </c15:fullRef>
                </c:ext>
              </c:extLst>
              <c:f>'Events &amp; Leaderboard'!$T$25:$T$27</c:f>
              <c:numCache>
                <c:formatCode>0;0;"-"</c:formatCode>
                <c:ptCount val="3"/>
                <c:pt idx="0">
                  <c:v>78</c:v>
                </c:pt>
                <c:pt idx="1">
                  <c:v>133</c:v>
                </c:pt>
                <c:pt idx="2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1D-4D77-B32A-E1C24ED47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732207"/>
        <c:axId val="1192552607"/>
      </c:lineChart>
      <c:catAx>
        <c:axId val="11597322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552607"/>
        <c:crosses val="autoZero"/>
        <c:auto val="1"/>
        <c:lblAlgn val="ctr"/>
        <c:lblOffset val="100"/>
        <c:noMultiLvlLbl val="0"/>
      </c:catAx>
      <c:valAx>
        <c:axId val="1192552607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73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Leaderboard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'Events &amp; Leaderboard'!$H$3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F49-407A-AA68-43BD30DC96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49-407A-AA68-43BD30DC96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49-407A-AA68-43BD30DC96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49-407A-AA68-43BD30DC96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'Events &amp; Leaderboard'!$B$4:$B$7</c:f>
              <c:strCache>
                <c:ptCount val="4"/>
                <c:pt idx="0">
                  <c:v>Dave</c:v>
                </c:pt>
                <c:pt idx="1">
                  <c:v>Scott</c:v>
                </c:pt>
                <c:pt idx="2">
                  <c:v>Mitch</c:v>
                </c:pt>
                <c:pt idx="3">
                  <c:v>Colby</c:v>
                </c:pt>
              </c:strCache>
            </c:strRef>
          </c:cat>
          <c:val>
            <c:numRef>
              <c:f>'Events &amp; Leaderboard'!$H$4:$H$7</c:f>
              <c:numCache>
                <c:formatCode>0;0;"-"</c:formatCode>
                <c:ptCount val="4"/>
                <c:pt idx="0">
                  <c:v>163</c:v>
                </c:pt>
                <c:pt idx="1">
                  <c:v>154</c:v>
                </c:pt>
                <c:pt idx="2">
                  <c:v>158</c:v>
                </c:pt>
                <c:pt idx="3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9-407A-AA68-43BD30DC9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-21"/>
        <c:axId val="1378467440"/>
        <c:axId val="1378465520"/>
      </c:barChart>
      <c:catAx>
        <c:axId val="137846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465520"/>
        <c:crosses val="autoZero"/>
        <c:auto val="1"/>
        <c:lblAlgn val="ctr"/>
        <c:lblOffset val="100"/>
        <c:noMultiLvlLbl val="0"/>
      </c:catAx>
      <c:valAx>
        <c:axId val="137846552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46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💩 Leaderboard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'Events &amp; Leaderboard'!$K$3</c:f>
              <c:strCache>
                <c:ptCount val="1"/>
                <c:pt idx="0">
                  <c:v>💩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'Events &amp; Leaderboard'!$B$4:$B$7</c:f>
              <c:strCache>
                <c:ptCount val="4"/>
                <c:pt idx="0">
                  <c:v>Dave</c:v>
                </c:pt>
                <c:pt idx="1">
                  <c:v>Scott</c:v>
                </c:pt>
                <c:pt idx="2">
                  <c:v>Mitch</c:v>
                </c:pt>
                <c:pt idx="3">
                  <c:v>Colby</c:v>
                </c:pt>
              </c:strCache>
            </c:strRef>
          </c:cat>
          <c:val>
            <c:numRef>
              <c:f>'Events &amp; Leaderboard'!$K$4:$K$7</c:f>
              <c:numCache>
                <c:formatCode>0;0;"-"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8A-45B5-B28C-ED0A0AAF3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-21"/>
        <c:axId val="1378467440"/>
        <c:axId val="1378465520"/>
      </c:barChart>
      <c:catAx>
        <c:axId val="137846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465520"/>
        <c:crosses val="autoZero"/>
        <c:auto val="1"/>
        <c:lblAlgn val="ctr"/>
        <c:lblOffset val="100"/>
        <c:noMultiLvlLbl val="0"/>
      </c:catAx>
      <c:valAx>
        <c:axId val="137846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467440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337670</xdr:colOff>
      <xdr:row>0</xdr:row>
      <xdr:rowOff>134003</xdr:rowOff>
    </xdr:from>
    <xdr:to>
      <xdr:col>34</xdr:col>
      <xdr:colOff>454772</xdr:colOff>
      <xdr:row>17</xdr:row>
      <xdr:rowOff>104588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7B6CD2-10D8-DFFA-74B7-AF7714E9B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86844</xdr:colOff>
      <xdr:row>22</xdr:row>
      <xdr:rowOff>56310</xdr:rowOff>
    </xdr:from>
    <xdr:to>
      <xdr:col>15</xdr:col>
      <xdr:colOff>470646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643E00-B9B4-B97C-C886-03DF97628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793562</xdr:colOff>
      <xdr:row>0</xdr:row>
      <xdr:rowOff>32684</xdr:rowOff>
    </xdr:from>
    <xdr:to>
      <xdr:col>26</xdr:col>
      <xdr:colOff>198903</xdr:colOff>
      <xdr:row>21</xdr:row>
      <xdr:rowOff>146984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8023DF-9BC4-72CD-8824-6616D45A1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239058</xdr:colOff>
      <xdr:row>0</xdr:row>
      <xdr:rowOff>104587</xdr:rowOff>
    </xdr:from>
    <xdr:to>
      <xdr:col>14</xdr:col>
      <xdr:colOff>799355</xdr:colOff>
      <xdr:row>7</xdr:row>
      <xdr:rowOff>14940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A59A3C-06B1-0888-4E6F-F0E27F0A5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926353</xdr:colOff>
      <xdr:row>0</xdr:row>
      <xdr:rowOff>119529</xdr:rowOff>
    </xdr:from>
    <xdr:to>
      <xdr:col>18</xdr:col>
      <xdr:colOff>134473</xdr:colOff>
      <xdr:row>7</xdr:row>
      <xdr:rowOff>29882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226B87-20D5-402E-A8B8-71BAF14AC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474647</xdr:colOff>
      <xdr:row>25</xdr:row>
      <xdr:rowOff>96213</xdr:rowOff>
    </xdr:from>
    <xdr:to>
      <xdr:col>15</xdr:col>
      <xdr:colOff>173182</xdr:colOff>
      <xdr:row>50</xdr:row>
      <xdr:rowOff>1283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BE7CA-8B87-CD4F-EC28-C620E6025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647" y="4990203"/>
          <a:ext cx="6600151" cy="4741333"/>
        </a:xfrm>
        <a:prstGeom prst="rect">
          <a:avLst/>
        </a:prstGeom>
      </xdr:spPr>
    </xdr:pic>
    <xdr:clientData/>
  </xdr:twoCellAnchor>
  <xdr:twoCellAnchor>
    <xdr:from>
      <xdr:col>7</xdr:col>
      <xdr:colOff>39895</xdr:colOff>
      <xdr:row>39</xdr:row>
      <xdr:rowOff>88003</xdr:rowOff>
    </xdr:from>
    <xdr:to>
      <xdr:col>8</xdr:col>
      <xdr:colOff>218081</xdr:colOff>
      <xdr:row>40</xdr:row>
      <xdr:rowOff>179595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CDC5001-3A35-FF24-CECA-9D73333DFC00}"/>
            </a:ext>
          </a:extLst>
        </xdr:cNvPr>
        <xdr:cNvSpPr txBox="1"/>
      </xdr:nvSpPr>
      <xdr:spPr>
        <a:xfrm>
          <a:off x="3657471" y="7772144"/>
          <a:ext cx="556620" cy="2776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/>
            <a:t>Mitch</a:t>
          </a:r>
        </a:p>
      </xdr:txBody>
    </xdr:sp>
    <xdr:clientData/>
  </xdr:twoCellAnchor>
  <xdr:twoCellAnchor>
    <xdr:from>
      <xdr:col>7</xdr:col>
      <xdr:colOff>46309</xdr:colOff>
      <xdr:row>44</xdr:row>
      <xdr:rowOff>55932</xdr:rowOff>
    </xdr:from>
    <xdr:to>
      <xdr:col>8</xdr:col>
      <xdr:colOff>224495</xdr:colOff>
      <xdr:row>45</xdr:row>
      <xdr:rowOff>147525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9A210E-0A84-1A10-1A80-0F9DE3108095}"/>
            </a:ext>
          </a:extLst>
        </xdr:cNvPr>
        <xdr:cNvSpPr txBox="1"/>
      </xdr:nvSpPr>
      <xdr:spPr>
        <a:xfrm>
          <a:off x="3663885" y="8670124"/>
          <a:ext cx="556620" cy="2776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/>
            <a:t>Colby</a:t>
          </a:r>
        </a:p>
      </xdr:txBody>
    </xdr:sp>
    <xdr:clientData/>
  </xdr:twoCellAnchor>
  <xdr:twoCellAnchor>
    <xdr:from>
      <xdr:col>7</xdr:col>
      <xdr:colOff>14238</xdr:colOff>
      <xdr:row>41</xdr:row>
      <xdr:rowOff>152144</xdr:rowOff>
    </xdr:from>
    <xdr:to>
      <xdr:col>8</xdr:col>
      <xdr:colOff>192424</xdr:colOff>
      <xdr:row>43</xdr:row>
      <xdr:rowOff>57727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471F23A-6477-AAFB-9D96-96D6CF83E571}"/>
            </a:ext>
          </a:extLst>
        </xdr:cNvPr>
        <xdr:cNvSpPr txBox="1"/>
      </xdr:nvSpPr>
      <xdr:spPr>
        <a:xfrm>
          <a:off x="3631814" y="8208306"/>
          <a:ext cx="556620" cy="2776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/>
            <a:t>Dave</a:t>
          </a:r>
        </a:p>
      </xdr:txBody>
    </xdr:sp>
    <xdr:clientData/>
  </xdr:twoCellAnchor>
  <xdr:twoCellAnchor>
    <xdr:from>
      <xdr:col>12</xdr:col>
      <xdr:colOff>174591</xdr:colOff>
      <xdr:row>31</xdr:row>
      <xdr:rowOff>23862</xdr:rowOff>
    </xdr:from>
    <xdr:to>
      <xdr:col>13</xdr:col>
      <xdr:colOff>256565</xdr:colOff>
      <xdr:row>32</xdr:row>
      <xdr:rowOff>102627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D19E09B-FBC4-1715-7657-E1F7CB811B98}"/>
            </a:ext>
          </a:extLst>
        </xdr:cNvPr>
        <xdr:cNvSpPr txBox="1"/>
      </xdr:nvSpPr>
      <xdr:spPr>
        <a:xfrm>
          <a:off x="5780551" y="6175024"/>
          <a:ext cx="556620" cy="2776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/>
            <a:t>Scott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40804D-23D9-4427-8431-1AB287833815}" name="Table3" displayName="Table3" ref="A2:F22" totalsRowShown="0" headerRowDxfId="65" dataDxfId="64" tableBorderDxfId="63" headerRowCellStyle="Normal 2" dataCellStyle="Normal 2">
  <autoFilter ref="A2:F22" xr:uid="{1440804D-23D9-4427-8431-1AB287833815}"/>
  <tableColumns count="6">
    <tableColumn id="1" xr3:uid="{F5358FA3-1D64-4F15-A93D-F4826D4D0520}" name="Date" dataDxfId="62" dataCellStyle="Normal 2"/>
    <tableColumn id="2" xr3:uid="{9CA7C8DD-AD49-4372-9C33-A8AFCB2EF478}" name="Course" dataDxfId="61" dataCellStyle="Normal 2"/>
    <tableColumn id="3" xr3:uid="{691E9C95-64ED-4769-81DE-44679FD2B2F1}" name="Score" dataDxfId="60" dataCellStyle="Normal 2"/>
    <tableColumn id="4" xr3:uid="{2FDF30A0-B7BE-4A7B-AF52-F96E270C01EA}" name="Rating" dataDxfId="59" dataCellStyle="Normal 2"/>
    <tableColumn id="5" xr3:uid="{EA3EDD0C-EB6F-4AD8-91C6-20E0F2999C4E}" name="Slope" dataDxfId="58" dataCellStyle="Normal 2"/>
    <tableColumn id="6" xr3:uid="{AD82289B-D9C8-4B55-AA06-CD42FC510A0C}" name="Differential" dataDxfId="57" dataCellStyle="Normal 2">
      <calculatedColumnFormula>(((C3-G3)-D3)*113)/E3</calculatedColumnFormula>
    </tableColumn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20159B-1A06-4E4D-8549-005D619CC953}" name="Table5" displayName="Table5" ref="A2:F22" totalsRowShown="0" headerRowDxfId="54" dataDxfId="53" tableBorderDxfId="52" headerRowCellStyle="Normal 2" dataCellStyle="Normal 2">
  <autoFilter ref="A2:F22" xr:uid="{0A20159B-1A06-4E4D-8549-005D619CC953}"/>
  <tableColumns count="6">
    <tableColumn id="1" xr3:uid="{35D571B1-1205-47B2-AF5F-7EE34881571A}" name="Date" dataDxfId="51" dataCellStyle="Normal 2"/>
    <tableColumn id="2" xr3:uid="{FFAF88A5-3F92-4DEB-89E0-D95E3A696F47}" name="Course" dataDxfId="50" dataCellStyle="Normal 2"/>
    <tableColumn id="3" xr3:uid="{AB629333-D695-4FE1-85C7-AA6CA5B39ED4}" name="Score" dataDxfId="49" dataCellStyle="Normal 2"/>
    <tableColumn id="4" xr3:uid="{8A4E818D-E8A6-4B1A-8389-23E939848544}" name="Rating" dataDxfId="48" dataCellStyle="Normal 2"/>
    <tableColumn id="5" xr3:uid="{203FC042-28D9-4841-AAAD-CAD56EAE1E7E}" name="Slope" dataDxfId="47" dataCellStyle="Normal 2"/>
    <tableColumn id="6" xr3:uid="{A33D633E-FFAC-4011-9120-E1D6771FECD3}" name="Differential" dataDxfId="46" dataCellStyle="Normal 2">
      <calculatedColumnFormula>(((C3-G3)-D3)*113)/E3</calculatedColumnFormula>
    </tableColumn>
  </tableColumns>
  <tableStyleInfo name="TableStyleMedium2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F6EF46-B650-40CB-AD47-083F17D68BD3}" name="Table6" displayName="Table6" ref="A2:F22" totalsRowShown="0" headerRowDxfId="43" dataDxfId="42" tableBorderDxfId="41" headerRowCellStyle="Normal 2" dataCellStyle="Normal 2">
  <autoFilter ref="A2:F22" xr:uid="{08F6EF46-B650-40CB-AD47-083F17D68BD3}"/>
  <tableColumns count="6">
    <tableColumn id="1" xr3:uid="{23D30AC8-98FB-4703-ABD7-B7AE853FAF83}" name="Date" dataDxfId="40" dataCellStyle="Normal 2"/>
    <tableColumn id="2" xr3:uid="{061DC4BD-A677-4625-A9A9-416B9904D4CE}" name="Course" dataDxfId="39" dataCellStyle="Normal 2"/>
    <tableColumn id="3" xr3:uid="{DFBD1DE1-4CFD-4C9E-802E-2B56F1220D3C}" name="Score" dataDxfId="38" dataCellStyle="Normal 2"/>
    <tableColumn id="4" xr3:uid="{0DB6AF7D-78B5-48FD-AE08-DB476F0FB695}" name="Rating" dataDxfId="37" dataCellStyle="Normal 2"/>
    <tableColumn id="5" xr3:uid="{73376EAC-44FB-4A7F-B177-1568AA51A1A1}" name="Slope" dataDxfId="36" dataCellStyle="Normal 2"/>
    <tableColumn id="6" xr3:uid="{F2B5CF0C-580A-4BF1-9795-142E9E42F08D}" name="Differential" dataDxfId="35" dataCellStyle="Normal 2">
      <calculatedColumnFormula>(((C3-G3)-D3)*113)/E3</calculatedColumnFormula>
    </tableColumn>
  </tableColumns>
  <tableStyleInfo name="TableStyleMedium2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07929F-7E84-474E-99FE-7B4F63FFD2C4}" name="Table4" displayName="Table4" ref="A2:F22" totalsRowShown="0" headerRowDxfId="32" dataDxfId="31" tableBorderDxfId="30" headerRowCellStyle="Normal 2" dataCellStyle="Normal 2">
  <autoFilter ref="A2:F22" xr:uid="{4B07929F-7E84-474E-99FE-7B4F63FFD2C4}"/>
  <tableColumns count="6">
    <tableColumn id="1" xr3:uid="{169FF42C-A18F-446E-88D0-35802C76092F}" name="Date" dataDxfId="29" dataCellStyle="Normal 2"/>
    <tableColumn id="2" xr3:uid="{27016D83-148C-4AFC-BFE4-496FBDC26278}" name="Course" dataDxfId="28" dataCellStyle="Normal 2"/>
    <tableColumn id="3" xr3:uid="{A642DA24-4ADC-4D7D-AF03-4134F255775A}" name="Score" dataDxfId="27" dataCellStyle="Normal 2"/>
    <tableColumn id="4" xr3:uid="{D62861ED-D960-4067-BA06-D25C10D3EBF2}" name="Rating" dataDxfId="26" dataCellStyle="Normal 2"/>
    <tableColumn id="5" xr3:uid="{48BA6EB0-A68B-48D6-AE29-9F19298930EA}" name="Slope" dataDxfId="25" dataCellStyle="Normal 2"/>
    <tableColumn id="6" xr3:uid="{8DD1B71C-350E-4BC4-A5BB-4264CA968516}" name="Differential" dataDxfId="24" dataCellStyle="Normal 2">
      <calculatedColumnFormula>(((C3-G3)-D3)*113)/E3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olf.com.au/find-a-place-to-play?view=list&amp;filter=venue&amp;sort=distance&amp;latitude=-33.3101078&amp;longitude=151.522855&amp;distance=1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golf.com.au/find-a-place-to-play?view=list&amp;filter=venue&amp;sort=distance&amp;latitude=-33.3101078&amp;longitude=151.522855&amp;distance=1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golf.com.au/find-a-place-to-play?view=list&amp;filter=venue&amp;sort=distance&amp;latitude=-33.3101078&amp;longitude=151.522855&amp;distance=1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golf.com.au/find-a-place-to-play?view=list&amp;filter=venue&amp;sort=distance&amp;latitude=-33.3101078&amp;longitude=151.522855&amp;distance=1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C2253-59A2-4E22-B9F3-F7DF5401439C}">
  <dimension ref="B2:V38"/>
  <sheetViews>
    <sheetView showGridLines="0" zoomScale="85" zoomScaleNormal="85" workbookViewId="0">
      <selection activeCell="B24" sqref="B24:G29"/>
    </sheetView>
  </sheetViews>
  <sheetFormatPr defaultRowHeight="14.45"/>
  <cols>
    <col min="2" max="2" width="13.140625" customWidth="1"/>
    <col min="3" max="3" width="16.5703125" customWidth="1"/>
    <col min="4" max="4" width="15.5703125" customWidth="1"/>
    <col min="5" max="5" width="14.140625" customWidth="1"/>
    <col min="6" max="7" width="13.85546875" customWidth="1"/>
    <col min="8" max="8" width="12.85546875" customWidth="1"/>
    <col min="9" max="9" width="12.7109375" customWidth="1"/>
    <col min="10" max="10" width="8.85546875" customWidth="1"/>
    <col min="11" max="11" width="12.140625" customWidth="1"/>
    <col min="12" max="12" width="10.140625" customWidth="1"/>
    <col min="14" max="14" width="11.85546875" customWidth="1"/>
    <col min="15" max="15" width="14.5703125" customWidth="1"/>
    <col min="17" max="17" width="13.5703125" bestFit="1" customWidth="1"/>
    <col min="18" max="18" width="13.28515625" bestFit="1" customWidth="1"/>
    <col min="19" max="19" width="12.85546875" bestFit="1" customWidth="1"/>
    <col min="20" max="20" width="12.5703125" bestFit="1" customWidth="1"/>
    <col min="21" max="21" width="11" customWidth="1"/>
    <col min="22" max="22" width="11.140625" customWidth="1"/>
  </cols>
  <sheetData>
    <row r="2" spans="2:22" ht="21.6" thickBot="1">
      <c r="B2" s="279" t="s">
        <v>0</v>
      </c>
      <c r="C2" s="280"/>
      <c r="D2" s="280"/>
      <c r="E2" s="280"/>
      <c r="F2" s="280"/>
      <c r="G2" s="280"/>
      <c r="H2" s="280"/>
      <c r="I2" s="280"/>
      <c r="J2" s="280"/>
      <c r="K2" s="280"/>
      <c r="M2" s="155"/>
      <c r="P2" s="155"/>
      <c r="Q2" s="155"/>
      <c r="R2" s="155"/>
      <c r="S2" s="155"/>
      <c r="T2" s="155"/>
      <c r="U2" s="155"/>
    </row>
    <row r="3" spans="2:22" ht="30" customHeight="1" thickTop="1" thickBot="1">
      <c r="B3" s="129" t="s">
        <v>1</v>
      </c>
      <c r="C3" s="29" t="s">
        <v>2</v>
      </c>
      <c r="D3" s="29" t="s">
        <v>3</v>
      </c>
      <c r="E3" s="29" t="s">
        <v>4</v>
      </c>
      <c r="F3" s="29" t="s">
        <v>5</v>
      </c>
      <c r="G3" s="29" t="s">
        <v>6</v>
      </c>
      <c r="H3" s="29" t="s">
        <v>7</v>
      </c>
      <c r="I3" s="247" t="s">
        <v>8</v>
      </c>
      <c r="J3" s="247" t="s">
        <v>9</v>
      </c>
      <c r="K3" s="252" t="s">
        <v>10</v>
      </c>
      <c r="M3" s="33"/>
      <c r="P3" s="33"/>
      <c r="Q3" s="33"/>
      <c r="R3" s="33"/>
      <c r="S3" s="33"/>
      <c r="T3" s="33"/>
      <c r="U3" s="33"/>
      <c r="V3" s="33"/>
    </row>
    <row r="4" spans="2:22" ht="30" customHeight="1" thickTop="1" thickBot="1">
      <c r="B4" s="237" t="s">
        <v>11</v>
      </c>
      <c r="C4" s="239">
        <f>SUM('Jan - Magenta:Dec - TBC'!Z17)</f>
        <v>120</v>
      </c>
      <c r="D4" s="241">
        <f>SUM('Jan - Magenta:Dec - TBC'!AA17)</f>
        <v>33</v>
      </c>
      <c r="E4" s="239">
        <f>SUM('Jan - Magenta:Dec - TBC'!AB17)</f>
        <v>10</v>
      </c>
      <c r="F4" s="239">
        <f>SUM('Jan - Magenta:Dec - TBC'!AC17)</f>
        <v>0</v>
      </c>
      <c r="G4" s="239">
        <f>SUM('Jan - Magenta:Dec - TBC'!AD17)</f>
        <v>0</v>
      </c>
      <c r="H4" s="244">
        <f>SUM(C4:G4)</f>
        <v>163</v>
      </c>
      <c r="I4" s="248">
        <f>MAX($H$4:$H$7)-H4</f>
        <v>47</v>
      </c>
      <c r="J4" s="248">
        <f>SUM('Jan - Magenta:Dec - TBC'!AF16)</f>
        <v>12</v>
      </c>
      <c r="K4" s="248">
        <f>COUNTIF($L$11:$L$22,B4)</f>
        <v>0</v>
      </c>
      <c r="M4" s="150"/>
      <c r="P4" s="150"/>
      <c r="Q4" s="150"/>
      <c r="R4" s="150"/>
      <c r="S4" s="150"/>
      <c r="T4" s="150"/>
      <c r="U4" s="150"/>
      <c r="V4" s="150"/>
    </row>
    <row r="5" spans="2:22" ht="30" customHeight="1" thickTop="1" thickBot="1">
      <c r="B5" s="26" t="s">
        <v>12</v>
      </c>
      <c r="C5" s="22">
        <f>SUM('Jan - Magenta:Dec - TBC'!Z15)</f>
        <v>110</v>
      </c>
      <c r="D5" s="28">
        <f>SUM('Jan - Magenta:Dec - TBC'!AA15)</f>
        <v>44</v>
      </c>
      <c r="E5" s="22">
        <f>SUM('Jan - Magenta:Dec - TBC'!AB15)</f>
        <v>0</v>
      </c>
      <c r="F5" s="22">
        <f>SUM('Jan - Magenta:Dec - TBC'!AC15)</f>
        <v>0</v>
      </c>
      <c r="G5" s="22">
        <f>SUM('Jan - Magenta:Dec - TBC'!AD15)</f>
        <v>0</v>
      </c>
      <c r="H5" s="19">
        <f>SUM(C5:G5)</f>
        <v>154</v>
      </c>
      <c r="I5" s="249">
        <f>MAX($H$4:$H$7)-H5</f>
        <v>56</v>
      </c>
      <c r="J5" s="249">
        <f>SUM('Jan - Magenta:Dec - TBC'!AF14)</f>
        <v>5</v>
      </c>
      <c r="K5" s="249">
        <f t="shared" ref="K5:K7" si="0">COUNTIF($L$11:$L$22,B5)</f>
        <v>1</v>
      </c>
      <c r="M5" s="150"/>
      <c r="P5" s="150"/>
      <c r="Q5" s="150"/>
      <c r="R5" s="150"/>
      <c r="S5" s="150"/>
      <c r="T5" s="150"/>
      <c r="U5" s="150"/>
      <c r="V5" s="150"/>
    </row>
    <row r="6" spans="2:22" ht="30" customHeight="1" thickTop="1" thickBot="1">
      <c r="B6" s="180" t="s">
        <v>13</v>
      </c>
      <c r="C6" s="181">
        <f>SUM('Jan - Magenta:Dec - TBC'!Z11)</f>
        <v>100</v>
      </c>
      <c r="D6" s="243">
        <f>SUM('Jan - Magenta:Dec - TBC'!AA11)</f>
        <v>18</v>
      </c>
      <c r="E6" s="181">
        <f>SUM('Jan - Magenta:Dec - TBC'!AB11)</f>
        <v>30</v>
      </c>
      <c r="F6" s="181">
        <f>SUM('Jan - Magenta:Dec - TBC'!AC11)</f>
        <v>5</v>
      </c>
      <c r="G6" s="181">
        <f>SUM('Jan - Magenta:Dec - TBC'!AD11)</f>
        <v>5</v>
      </c>
      <c r="H6" s="246">
        <f>SUM(C6:G6)</f>
        <v>158</v>
      </c>
      <c r="I6" s="250">
        <f t="shared" ref="I6:I7" si="1">MAX($H$4:$H$7)-H6</f>
        <v>52</v>
      </c>
      <c r="J6" s="250">
        <f>SUM('Jan - Magenta:Dec - TBC'!AF10)</f>
        <v>10</v>
      </c>
      <c r="K6" s="250">
        <f t="shared" si="0"/>
        <v>2</v>
      </c>
      <c r="M6" s="150"/>
      <c r="P6" s="150"/>
      <c r="Q6" s="150"/>
      <c r="R6" s="150"/>
      <c r="S6" s="150"/>
      <c r="T6" s="150"/>
      <c r="U6" s="150"/>
      <c r="V6" s="150"/>
    </row>
    <row r="7" spans="2:22" ht="30" customHeight="1" thickTop="1" thickBot="1">
      <c r="B7" s="238" t="s">
        <v>14</v>
      </c>
      <c r="C7" s="240">
        <f>SUM('Jan - Magenta:Dec - TBC'!Z13)</f>
        <v>140</v>
      </c>
      <c r="D7" s="242">
        <f>SUM('Jan - Magenta:Dec - TBC'!AA13)</f>
        <v>35</v>
      </c>
      <c r="E7" s="240">
        <f>SUM('Jan - Magenta:Dec - TBC'!AB13)</f>
        <v>20</v>
      </c>
      <c r="F7" s="240">
        <f>SUM('Jan - Magenta:Dec - TBC'!AC13)</f>
        <v>5</v>
      </c>
      <c r="G7" s="240">
        <f>SUM('Jan - Magenta:Dec - TBC'!AD13)</f>
        <v>10</v>
      </c>
      <c r="H7" s="245">
        <f>SUM(C7:G7)</f>
        <v>210</v>
      </c>
      <c r="I7" s="251">
        <f t="shared" si="1"/>
        <v>0</v>
      </c>
      <c r="J7" s="251">
        <f>SUM('Jan - Magenta:Dec - TBC'!AF12)</f>
        <v>8</v>
      </c>
      <c r="K7" s="251">
        <f t="shared" si="0"/>
        <v>0</v>
      </c>
      <c r="M7" s="150"/>
      <c r="P7" s="150"/>
      <c r="Q7" s="150"/>
      <c r="R7" s="150"/>
      <c r="S7" s="150"/>
      <c r="T7" s="150"/>
      <c r="U7" s="150"/>
      <c r="V7" s="150"/>
    </row>
    <row r="8" spans="2:22" ht="16.5" thickTop="1" thickBot="1">
      <c r="B8" s="152"/>
      <c r="C8" s="152"/>
      <c r="D8" s="152"/>
      <c r="E8" s="152"/>
      <c r="F8" s="152"/>
      <c r="G8" s="152"/>
      <c r="H8" s="152"/>
      <c r="I8" s="153"/>
      <c r="J8" s="5"/>
      <c r="U8" s="33"/>
      <c r="V8" s="151"/>
    </row>
    <row r="9" spans="2:22" ht="21.95" thickTop="1" thickBot="1">
      <c r="B9" s="276" t="s">
        <v>15</v>
      </c>
      <c r="C9" s="277"/>
      <c r="D9" s="277"/>
      <c r="E9" s="277"/>
      <c r="F9" s="277"/>
      <c r="G9" s="277"/>
      <c r="H9" s="277"/>
      <c r="I9" s="277"/>
      <c r="J9" s="154"/>
      <c r="K9" s="274" t="s">
        <v>16</v>
      </c>
      <c r="L9" s="275"/>
      <c r="N9" s="166" t="s">
        <v>17</v>
      </c>
      <c r="O9" s="156" t="s">
        <v>18</v>
      </c>
    </row>
    <row r="10" spans="2:22" ht="16.5" thickTop="1" thickBot="1">
      <c r="B10" s="30" t="s">
        <v>19</v>
      </c>
      <c r="C10" s="31" t="s">
        <v>20</v>
      </c>
      <c r="D10" s="31" t="s">
        <v>21</v>
      </c>
      <c r="E10" s="31" t="s">
        <v>22</v>
      </c>
      <c r="F10" s="32" t="s">
        <v>23</v>
      </c>
      <c r="G10" s="31" t="s">
        <v>24</v>
      </c>
      <c r="H10" s="31" t="s">
        <v>25</v>
      </c>
      <c r="I10" s="31" t="s">
        <v>26</v>
      </c>
      <c r="J10" s="33"/>
      <c r="K10" s="30" t="s">
        <v>19</v>
      </c>
      <c r="L10" s="31" t="s">
        <v>1</v>
      </c>
      <c r="N10" s="24" t="s">
        <v>27</v>
      </c>
      <c r="O10" s="20">
        <v>70</v>
      </c>
    </row>
    <row r="11" spans="2:22" ht="15.6" thickTop="1" thickBot="1">
      <c r="B11" s="24" t="s">
        <v>28</v>
      </c>
      <c r="C11" s="24" t="s">
        <v>29</v>
      </c>
      <c r="D11" s="208" t="s">
        <v>30</v>
      </c>
      <c r="E11" s="24" t="s">
        <v>31</v>
      </c>
      <c r="F11" s="24">
        <f>'Jan - Magenta'!$AE$11</f>
        <v>62</v>
      </c>
      <c r="G11" s="24">
        <f>'Jan - Magenta'!$AE$13</f>
        <v>57</v>
      </c>
      <c r="H11" s="24">
        <f>'Jan - Magenta'!$AE$15</f>
        <v>63</v>
      </c>
      <c r="I11" s="20">
        <f>'Jan - Magenta'!$AE$17</f>
        <v>78</v>
      </c>
      <c r="J11" s="34"/>
      <c r="K11" s="24" t="s">
        <v>28</v>
      </c>
      <c r="L11" s="20" t="s">
        <v>13</v>
      </c>
      <c r="N11" s="25" t="s">
        <v>32</v>
      </c>
      <c r="O11" s="21">
        <v>50</v>
      </c>
    </row>
    <row r="12" spans="2:22" ht="15.6" thickTop="1" thickBot="1">
      <c r="B12" s="25" t="s">
        <v>33</v>
      </c>
      <c r="C12" s="25" t="s">
        <v>34</v>
      </c>
      <c r="D12" s="253" t="s">
        <v>35</v>
      </c>
      <c r="E12" s="25" t="s">
        <v>36</v>
      </c>
      <c r="F12" s="25">
        <f>'Feb - Toronto'!$AE$11</f>
        <v>45</v>
      </c>
      <c r="G12" s="25">
        <f>'Feb - Toronto'!$AE$13</f>
        <v>76</v>
      </c>
      <c r="H12" s="25">
        <f>'Feb - Toronto'!$AE$15</f>
        <v>55</v>
      </c>
      <c r="I12" s="21">
        <f>'Feb - Toronto'!$AE$17</f>
        <v>55</v>
      </c>
      <c r="J12" s="35"/>
      <c r="K12" s="25" t="s">
        <v>33</v>
      </c>
      <c r="L12" s="21" t="s">
        <v>13</v>
      </c>
      <c r="N12" s="26" t="s">
        <v>37</v>
      </c>
      <c r="O12" s="22">
        <v>40</v>
      </c>
    </row>
    <row r="13" spans="2:22" ht="15.6" thickTop="1" thickBot="1">
      <c r="B13" s="26" t="s">
        <v>38</v>
      </c>
      <c r="C13" s="26" t="s">
        <v>39</v>
      </c>
      <c r="D13" s="257" t="s">
        <v>35</v>
      </c>
      <c r="E13" s="26" t="s">
        <v>31</v>
      </c>
      <c r="F13" s="26">
        <f>'Mar - Shortland'!$AE$11</f>
        <v>51</v>
      </c>
      <c r="G13" s="26">
        <f>'Mar - Shortland'!$AE$13</f>
        <v>77</v>
      </c>
      <c r="H13" s="26">
        <f>'Mar - Shortland'!$AE$15</f>
        <v>36</v>
      </c>
      <c r="I13" s="22">
        <f>'Mar - Shortland'!$AE$17</f>
        <v>30</v>
      </c>
      <c r="J13" s="36"/>
      <c r="K13" s="26" t="s">
        <v>38</v>
      </c>
      <c r="L13" s="22" t="s">
        <v>12</v>
      </c>
      <c r="N13" s="27" t="s">
        <v>40</v>
      </c>
      <c r="O13" s="23">
        <v>35</v>
      </c>
    </row>
    <row r="14" spans="2:22" ht="15.6" thickTop="1" thickBot="1">
      <c r="B14" s="27" t="s">
        <v>41</v>
      </c>
      <c r="C14" s="27"/>
      <c r="D14" s="209"/>
      <c r="E14" s="27"/>
      <c r="F14" s="27">
        <f>'Apr - Waratah'!$AE$11</f>
        <v>0</v>
      </c>
      <c r="G14" s="27">
        <f>'Apr - Waratah'!$AE$13</f>
        <v>0</v>
      </c>
      <c r="H14" s="27">
        <f>'Apr - Waratah'!$AE$15</f>
        <v>0</v>
      </c>
      <c r="I14" s="23">
        <f>'Apr - Waratah'!$AE$17</f>
        <v>0</v>
      </c>
      <c r="J14" s="37"/>
      <c r="K14" s="27" t="s">
        <v>41</v>
      </c>
      <c r="L14" s="23">
        <v>0</v>
      </c>
      <c r="N14" s="24" t="s">
        <v>42</v>
      </c>
      <c r="O14" s="20">
        <v>30</v>
      </c>
    </row>
    <row r="15" spans="2:22" ht="15.6" thickTop="1" thickBot="1">
      <c r="B15" s="24" t="s">
        <v>43</v>
      </c>
      <c r="C15" s="24"/>
      <c r="D15" s="210"/>
      <c r="E15" s="24"/>
      <c r="F15" s="24">
        <f>'May - TBC'!$AE$11</f>
        <v>0</v>
      </c>
      <c r="G15" s="24">
        <f>'May - TBC'!$AE$13</f>
        <v>0</v>
      </c>
      <c r="H15" s="24">
        <f>'May - TBC'!$AE$15</f>
        <v>0</v>
      </c>
      <c r="I15" s="20">
        <f>'May - TBC'!$AE$17</f>
        <v>0</v>
      </c>
      <c r="J15" s="34"/>
      <c r="K15" s="24" t="s">
        <v>43</v>
      </c>
      <c r="L15" s="20">
        <v>0</v>
      </c>
      <c r="N15" s="25" t="s">
        <v>44</v>
      </c>
      <c r="O15" s="21">
        <v>25</v>
      </c>
    </row>
    <row r="16" spans="2:22" ht="16.5" thickTop="1" thickBot="1">
      <c r="B16" s="25" t="s">
        <v>45</v>
      </c>
      <c r="C16" s="25"/>
      <c r="D16" s="207"/>
      <c r="E16" s="25"/>
      <c r="F16" s="25">
        <f>'Jun - TBC'!$AE$11</f>
        <v>0</v>
      </c>
      <c r="G16" s="25">
        <f>'Jun - TBC'!$AE$13</f>
        <v>0</v>
      </c>
      <c r="H16" s="25">
        <f>'Jun - TBC'!$AE$15</f>
        <v>0</v>
      </c>
      <c r="I16" s="21">
        <f>'Jun - TBC'!$AE$17</f>
        <v>0</v>
      </c>
      <c r="J16" s="35"/>
      <c r="K16" s="25" t="s">
        <v>45</v>
      </c>
      <c r="L16" s="21">
        <v>0</v>
      </c>
      <c r="N16" s="156" t="s">
        <v>46</v>
      </c>
      <c r="O16" s="167" t="s">
        <v>47</v>
      </c>
    </row>
    <row r="17" spans="2:20" ht="15.6" thickTop="1" thickBot="1">
      <c r="B17" s="26" t="s">
        <v>48</v>
      </c>
      <c r="C17" s="26"/>
      <c r="D17" s="206"/>
      <c r="E17" s="26"/>
      <c r="F17" s="26">
        <f>'July - TBC'!$AE$11</f>
        <v>0</v>
      </c>
      <c r="G17" s="26">
        <f>'July - TBC'!$AE$13</f>
        <v>0</v>
      </c>
      <c r="H17" s="26">
        <f>'July - TBC'!$AE$15</f>
        <v>0</v>
      </c>
      <c r="I17" s="22">
        <f>'July - TBC'!$AE$17</f>
        <v>0</v>
      </c>
      <c r="J17" s="36"/>
      <c r="K17" s="26" t="s">
        <v>48</v>
      </c>
      <c r="L17" s="22">
        <v>0</v>
      </c>
      <c r="N17" s="26" t="s">
        <v>49</v>
      </c>
      <c r="O17" s="22">
        <v>5</v>
      </c>
    </row>
    <row r="18" spans="2:20" ht="15.6" thickTop="1" thickBot="1">
      <c r="B18" s="27" t="s">
        <v>50</v>
      </c>
      <c r="C18" s="27"/>
      <c r="D18" s="209"/>
      <c r="E18" s="27"/>
      <c r="F18" s="27">
        <f>'August - TBC'!$AE$11</f>
        <v>0</v>
      </c>
      <c r="G18" s="27">
        <f>'August - TBC'!$AE$13</f>
        <v>0</v>
      </c>
      <c r="H18" s="27">
        <f>'August - TBC'!$AE$15</f>
        <v>0</v>
      </c>
      <c r="I18" s="23">
        <f>'August - TBC'!$AE$17</f>
        <v>0</v>
      </c>
      <c r="J18" s="37"/>
      <c r="K18" s="27" t="s">
        <v>50</v>
      </c>
      <c r="L18" s="23">
        <v>0</v>
      </c>
      <c r="N18" s="27" t="s">
        <v>51</v>
      </c>
      <c r="O18" s="23">
        <v>5</v>
      </c>
    </row>
    <row r="19" spans="2:20" ht="15.6" thickTop="1" thickBot="1">
      <c r="B19" s="24" t="s">
        <v>52</v>
      </c>
      <c r="C19" s="24"/>
      <c r="D19" s="24"/>
      <c r="E19" s="24"/>
      <c r="F19" s="24">
        <f>'Sept - TBC'!$AE$11</f>
        <v>0</v>
      </c>
      <c r="G19" s="24">
        <f>'Sept - TBC'!$AE$13</f>
        <v>0</v>
      </c>
      <c r="H19" s="24">
        <f>'Sept - TBC'!$AE$15</f>
        <v>0</v>
      </c>
      <c r="I19" s="20">
        <f>'Sept - TBC'!$AE$17</f>
        <v>0</v>
      </c>
      <c r="J19" s="34"/>
      <c r="K19" s="24" t="s">
        <v>52</v>
      </c>
      <c r="L19" s="20">
        <v>0</v>
      </c>
      <c r="N19" s="180" t="s">
        <v>4</v>
      </c>
      <c r="O19" s="181">
        <v>10</v>
      </c>
    </row>
    <row r="20" spans="2:20" ht="15.6" thickTop="1" thickBot="1">
      <c r="B20" s="25" t="s">
        <v>53</v>
      </c>
      <c r="C20" s="25"/>
      <c r="D20" s="25"/>
      <c r="E20" s="25"/>
      <c r="F20" s="25">
        <f>'Oct - TBC'!$AE$11</f>
        <v>0</v>
      </c>
      <c r="G20" s="25">
        <f>'Oct - TBC'!$AE$13</f>
        <v>0</v>
      </c>
      <c r="H20" s="25">
        <f>'Oct - TBC'!$AE$15</f>
        <v>0</v>
      </c>
      <c r="I20" s="21">
        <f>'Oct - TBC'!$AE$17</f>
        <v>0</v>
      </c>
      <c r="J20" s="35"/>
      <c r="K20" s="25" t="s">
        <v>53</v>
      </c>
      <c r="L20" s="21" t="s">
        <v>54</v>
      </c>
    </row>
    <row r="21" spans="2:20" ht="15.6" thickTop="1" thickBot="1">
      <c r="B21" s="26" t="s">
        <v>55</v>
      </c>
      <c r="C21" s="26"/>
      <c r="D21" s="26"/>
      <c r="E21" s="26"/>
      <c r="F21" s="26">
        <f>'Nov - TBC'!$AE$11</f>
        <v>0</v>
      </c>
      <c r="G21" s="26">
        <f>'Nov - TBC'!$AE$13</f>
        <v>0</v>
      </c>
      <c r="H21" s="26">
        <f>'Nov - TBC'!$AE$15</f>
        <v>0</v>
      </c>
      <c r="I21" s="22">
        <f>'Nov - TBC'!$AE$17</f>
        <v>0</v>
      </c>
      <c r="J21" s="36"/>
      <c r="K21" s="26" t="s">
        <v>55</v>
      </c>
      <c r="L21" s="22" t="s">
        <v>54</v>
      </c>
    </row>
    <row r="22" spans="2:20" ht="15.6" thickTop="1" thickBot="1">
      <c r="B22" s="27" t="s">
        <v>56</v>
      </c>
      <c r="C22" s="27"/>
      <c r="D22" s="27"/>
      <c r="E22" s="27"/>
      <c r="F22" s="27">
        <f>'Dec - TBC'!$AE$11</f>
        <v>0</v>
      </c>
      <c r="G22" s="27">
        <f>'Dec - TBC'!$AE$13</f>
        <v>0</v>
      </c>
      <c r="H22" s="27">
        <f>'Dec - TBC'!$AE$15</f>
        <v>0</v>
      </c>
      <c r="I22" s="23">
        <f>'Dec - TBC'!$AE$17</f>
        <v>0</v>
      </c>
      <c r="J22" s="37"/>
      <c r="K22" s="27" t="s">
        <v>56</v>
      </c>
      <c r="L22" s="23" t="s">
        <v>54</v>
      </c>
    </row>
    <row r="23" spans="2:20" ht="16.5" thickTop="1" thickBot="1">
      <c r="I23" s="5"/>
      <c r="J23" s="5"/>
      <c r="Q23" s="274" t="s">
        <v>57</v>
      </c>
      <c r="R23" s="278"/>
      <c r="S23" s="278"/>
      <c r="T23" s="275"/>
    </row>
    <row r="24" spans="2:20" ht="21.95" thickTop="1" thickBot="1">
      <c r="B24" s="271" t="s">
        <v>58</v>
      </c>
      <c r="C24" s="272"/>
      <c r="D24" s="272"/>
      <c r="E24" s="272"/>
      <c r="F24" s="272"/>
      <c r="G24" s="273"/>
      <c r="H24" s="155"/>
      <c r="I24" s="155"/>
      <c r="Q24" s="31" t="s">
        <v>23</v>
      </c>
      <c r="R24" s="31" t="s">
        <v>24</v>
      </c>
      <c r="S24" s="31" t="s">
        <v>25</v>
      </c>
      <c r="T24" s="31" t="s">
        <v>26</v>
      </c>
    </row>
    <row r="25" spans="2:20" ht="16.5" thickTop="1" thickBot="1">
      <c r="B25" s="129" t="s">
        <v>19</v>
      </c>
      <c r="C25" s="156" t="s">
        <v>20</v>
      </c>
      <c r="D25" s="157" t="s">
        <v>13</v>
      </c>
      <c r="E25" s="156" t="s">
        <v>14</v>
      </c>
      <c r="F25" s="156" t="s">
        <v>12</v>
      </c>
      <c r="G25" s="156" t="s">
        <v>11</v>
      </c>
      <c r="H25" s="33"/>
      <c r="I25" s="33"/>
      <c r="Q25" s="224">
        <f>F11</f>
        <v>62</v>
      </c>
      <c r="R25" s="226">
        <f>G11</f>
        <v>57</v>
      </c>
      <c r="S25" s="228">
        <f>H11</f>
        <v>63</v>
      </c>
      <c r="T25" s="230">
        <f>I11</f>
        <v>78</v>
      </c>
    </row>
    <row r="26" spans="2:20" ht="15.6" thickTop="1" thickBot="1">
      <c r="B26" s="24" t="s">
        <v>28</v>
      </c>
      <c r="C26" s="24" t="s">
        <v>29</v>
      </c>
      <c r="D26" s="158">
        <v>13.194000000000001</v>
      </c>
      <c r="E26" s="158">
        <v>17.100999999999999</v>
      </c>
      <c r="F26" s="158">
        <v>21.513000000000002</v>
      </c>
      <c r="G26" s="159">
        <v>15.326000000000001</v>
      </c>
      <c r="H26" s="34"/>
      <c r="I26" s="34"/>
      <c r="Q26" s="225">
        <f t="shared" ref="Q26:Q36" si="2">Q25+F12</f>
        <v>107</v>
      </c>
      <c r="R26" s="227">
        <f t="shared" ref="R26:R36" si="3">R25+G12</f>
        <v>133</v>
      </c>
      <c r="S26" s="229">
        <f t="shared" ref="S26:S36" si="4">S25+H12</f>
        <v>118</v>
      </c>
      <c r="T26" s="231">
        <f t="shared" ref="T26:T36" si="5">T25+I12</f>
        <v>133</v>
      </c>
    </row>
    <row r="27" spans="2:20" ht="15.6" thickTop="1" thickBot="1">
      <c r="B27" s="25" t="s">
        <v>33</v>
      </c>
      <c r="C27" s="25" t="s">
        <v>34</v>
      </c>
      <c r="D27" s="160">
        <v>13.194000000000001</v>
      </c>
      <c r="E27" s="160">
        <v>17.033999999999999</v>
      </c>
      <c r="F27" s="160">
        <v>21.513000000000002</v>
      </c>
      <c r="G27" s="161">
        <v>15.071999999999999</v>
      </c>
      <c r="H27" s="35"/>
      <c r="I27" s="35"/>
      <c r="Q27" s="225">
        <f t="shared" si="2"/>
        <v>158</v>
      </c>
      <c r="R27" s="227">
        <f t="shared" si="3"/>
        <v>210</v>
      </c>
      <c r="S27" s="229">
        <f t="shared" si="4"/>
        <v>154</v>
      </c>
      <c r="T27" s="231">
        <f t="shared" si="5"/>
        <v>163</v>
      </c>
    </row>
    <row r="28" spans="2:20" ht="15.6" thickTop="1" thickBot="1">
      <c r="B28" s="26" t="s">
        <v>38</v>
      </c>
      <c r="C28" s="26" t="s">
        <v>39</v>
      </c>
      <c r="D28" s="162">
        <v>13.194000000000001</v>
      </c>
      <c r="E28" s="162">
        <v>16.84</v>
      </c>
      <c r="F28" s="162">
        <v>21.513000000000002</v>
      </c>
      <c r="G28" s="163">
        <v>15.071999999999999</v>
      </c>
      <c r="H28" s="36"/>
      <c r="I28" s="36"/>
      <c r="Q28" s="225">
        <f t="shared" si="2"/>
        <v>158</v>
      </c>
      <c r="R28" s="227">
        <f t="shared" si="3"/>
        <v>210</v>
      </c>
      <c r="S28" s="229">
        <f t="shared" si="4"/>
        <v>154</v>
      </c>
      <c r="T28" s="231">
        <f t="shared" si="5"/>
        <v>163</v>
      </c>
    </row>
    <row r="29" spans="2:20" ht="15.6" thickTop="1" thickBot="1">
      <c r="B29" s="27" t="s">
        <v>41</v>
      </c>
      <c r="C29" s="27" t="s">
        <v>59</v>
      </c>
      <c r="D29" s="164">
        <v>13.193612203923683</v>
      </c>
      <c r="E29" s="164">
        <v>16.67398703777819</v>
      </c>
      <c r="F29" s="164">
        <v>21.614828893236037</v>
      </c>
      <c r="G29" s="165">
        <v>15.078311711419413</v>
      </c>
      <c r="H29" s="37"/>
      <c r="I29" s="37"/>
      <c r="Q29" s="225">
        <f t="shared" si="2"/>
        <v>158</v>
      </c>
      <c r="R29" s="227">
        <f t="shared" si="3"/>
        <v>210</v>
      </c>
      <c r="S29" s="229">
        <f t="shared" si="4"/>
        <v>154</v>
      </c>
      <c r="T29" s="231">
        <f t="shared" si="5"/>
        <v>163</v>
      </c>
    </row>
    <row r="30" spans="2:20" ht="15.6" thickTop="1" thickBot="1">
      <c r="B30" s="24" t="s">
        <v>43</v>
      </c>
      <c r="C30" s="24"/>
      <c r="D30" s="158"/>
      <c r="E30" s="158"/>
      <c r="F30" s="158"/>
      <c r="G30" s="159"/>
      <c r="H30" s="34"/>
      <c r="I30" s="34"/>
      <c r="Q30" s="225">
        <f t="shared" si="2"/>
        <v>158</v>
      </c>
      <c r="R30" s="227">
        <f t="shared" si="3"/>
        <v>210</v>
      </c>
      <c r="S30" s="229">
        <f t="shared" si="4"/>
        <v>154</v>
      </c>
      <c r="T30" s="231">
        <f t="shared" si="5"/>
        <v>163</v>
      </c>
    </row>
    <row r="31" spans="2:20" ht="15.6" thickTop="1" thickBot="1">
      <c r="B31" s="25" t="s">
        <v>45</v>
      </c>
      <c r="C31" s="25"/>
      <c r="D31" s="160"/>
      <c r="E31" s="160"/>
      <c r="F31" s="160"/>
      <c r="G31" s="161"/>
      <c r="H31" s="35"/>
      <c r="I31" s="35"/>
      <c r="Q31" s="225">
        <f t="shared" si="2"/>
        <v>158</v>
      </c>
      <c r="R31" s="227">
        <f t="shared" si="3"/>
        <v>210</v>
      </c>
      <c r="S31" s="229">
        <f t="shared" si="4"/>
        <v>154</v>
      </c>
      <c r="T31" s="231">
        <f t="shared" si="5"/>
        <v>163</v>
      </c>
    </row>
    <row r="32" spans="2:20" ht="15.6" thickTop="1" thickBot="1">
      <c r="B32" s="26" t="s">
        <v>48</v>
      </c>
      <c r="C32" s="26"/>
      <c r="D32" s="162"/>
      <c r="E32" s="162"/>
      <c r="F32" s="162"/>
      <c r="G32" s="163"/>
      <c r="H32" s="36"/>
      <c r="I32" s="36"/>
      <c r="Q32" s="225">
        <f t="shared" si="2"/>
        <v>158</v>
      </c>
      <c r="R32" s="227">
        <f t="shared" si="3"/>
        <v>210</v>
      </c>
      <c r="S32" s="229">
        <f t="shared" si="4"/>
        <v>154</v>
      </c>
      <c r="T32" s="231">
        <f t="shared" si="5"/>
        <v>163</v>
      </c>
    </row>
    <row r="33" spans="2:20" ht="15.6" thickTop="1" thickBot="1">
      <c r="B33" s="27" t="s">
        <v>50</v>
      </c>
      <c r="C33" s="27"/>
      <c r="D33" s="164"/>
      <c r="E33" s="164"/>
      <c r="F33" s="164"/>
      <c r="G33" s="165"/>
      <c r="H33" s="37"/>
      <c r="I33" s="37"/>
      <c r="Q33" s="225">
        <f t="shared" si="2"/>
        <v>158</v>
      </c>
      <c r="R33" s="227">
        <f t="shared" si="3"/>
        <v>210</v>
      </c>
      <c r="S33" s="229">
        <f t="shared" si="4"/>
        <v>154</v>
      </c>
      <c r="T33" s="231">
        <f t="shared" si="5"/>
        <v>163</v>
      </c>
    </row>
    <row r="34" spans="2:20" ht="15.6" thickTop="1" thickBot="1">
      <c r="B34" s="24" t="s">
        <v>52</v>
      </c>
      <c r="C34" s="24"/>
      <c r="D34" s="158"/>
      <c r="E34" s="158"/>
      <c r="F34" s="158"/>
      <c r="G34" s="159"/>
      <c r="H34" s="34"/>
      <c r="I34" s="34"/>
      <c r="Q34" s="225">
        <f t="shared" si="2"/>
        <v>158</v>
      </c>
      <c r="R34" s="227">
        <f t="shared" si="3"/>
        <v>210</v>
      </c>
      <c r="S34" s="229">
        <f t="shared" si="4"/>
        <v>154</v>
      </c>
      <c r="T34" s="231">
        <f t="shared" si="5"/>
        <v>163</v>
      </c>
    </row>
    <row r="35" spans="2:20" ht="15.6" thickTop="1" thickBot="1">
      <c r="B35" s="25" t="s">
        <v>53</v>
      </c>
      <c r="C35" s="25"/>
      <c r="D35" s="160"/>
      <c r="E35" s="160"/>
      <c r="F35" s="160"/>
      <c r="G35" s="161"/>
      <c r="H35" s="35"/>
      <c r="I35" s="35"/>
      <c r="Q35" s="225">
        <f t="shared" si="2"/>
        <v>158</v>
      </c>
      <c r="R35" s="227">
        <f t="shared" si="3"/>
        <v>210</v>
      </c>
      <c r="S35" s="229">
        <f t="shared" si="4"/>
        <v>154</v>
      </c>
      <c r="T35" s="231">
        <f t="shared" si="5"/>
        <v>163</v>
      </c>
    </row>
    <row r="36" spans="2:20" ht="15.6" thickTop="1" thickBot="1">
      <c r="B36" s="26" t="s">
        <v>55</v>
      </c>
      <c r="C36" s="26"/>
      <c r="D36" s="162"/>
      <c r="E36" s="162"/>
      <c r="F36" s="162"/>
      <c r="G36" s="163"/>
      <c r="H36" s="36"/>
      <c r="I36" s="36"/>
      <c r="Q36" s="225">
        <f t="shared" si="2"/>
        <v>158</v>
      </c>
      <c r="R36" s="227">
        <f t="shared" si="3"/>
        <v>210</v>
      </c>
      <c r="S36" s="229">
        <f t="shared" si="4"/>
        <v>154</v>
      </c>
      <c r="T36" s="231">
        <f t="shared" si="5"/>
        <v>163</v>
      </c>
    </row>
    <row r="37" spans="2:20" ht="15.6" thickTop="1" thickBot="1">
      <c r="B37" s="27" t="s">
        <v>56</v>
      </c>
      <c r="C37" s="27"/>
      <c r="D37" s="164"/>
      <c r="E37" s="164"/>
      <c r="F37" s="164"/>
      <c r="G37" s="165"/>
      <c r="H37" s="37"/>
      <c r="I37" s="37"/>
    </row>
    <row r="38" spans="2:20" ht="15" thickTop="1"/>
  </sheetData>
  <sortState xmlns:xlrd2="http://schemas.microsoft.com/office/spreadsheetml/2017/richdata2" ref="B4:H7">
    <sortCondition descending="1" ref="H7"/>
  </sortState>
  <mergeCells count="5">
    <mergeCell ref="B24:G24"/>
    <mergeCell ref="K9:L9"/>
    <mergeCell ref="B9:I9"/>
    <mergeCell ref="Q23:T23"/>
    <mergeCell ref="B2:K2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D393-0C2D-4627-AE90-167F3D8D6CC0}">
  <dimension ref="A1:Z996"/>
  <sheetViews>
    <sheetView workbookViewId="0">
      <selection activeCell="B1" sqref="B1"/>
    </sheetView>
  </sheetViews>
  <sheetFormatPr defaultColWidth="14.42578125" defaultRowHeight="15" customHeight="1"/>
  <cols>
    <col min="1" max="1" width="22.5703125" style="59" customWidth="1"/>
    <col min="2" max="6" width="18" style="59" customWidth="1"/>
    <col min="7" max="7" width="8.140625" style="59" customWidth="1"/>
    <col min="8" max="8" width="5.5703125" style="59" customWidth="1"/>
    <col min="9" max="9" width="11.28515625" style="59" customWidth="1"/>
    <col min="10" max="26" width="18" style="59" customWidth="1"/>
    <col min="27" max="16384" width="14.42578125" style="59"/>
  </cols>
  <sheetData>
    <row r="1" spans="1:26" ht="21" customHeight="1" thickTop="1" thickBot="1">
      <c r="A1" s="139" t="s">
        <v>60</v>
      </c>
      <c r="B1" s="146">
        <f ca="1">AVERAGE(SMALL(INDIRECT("F3:F22"),1),SMALL(INDIRECT("F3:F22"),2),SMALL(INDIRECT("F3:F22"),3),SMALL(INDIRECT("F3:F22"),4),SMALL(INDIRECT("F3:F22"),5), SMALL(INDIRECT("F3:F22"),6),SMALL(INDIRECT("F3:F22"),7),SMALL(INDIRECT("F3:F22"),8))</f>
        <v>13.193612203923683</v>
      </c>
      <c r="C1" s="136" t="s">
        <v>61</v>
      </c>
      <c r="D1" s="137">
        <f>AVERAGE(C3:C22)</f>
        <v>91.9</v>
      </c>
      <c r="E1" s="136" t="s">
        <v>62</v>
      </c>
      <c r="F1" s="138">
        <f ca="1">ROUNDDOWN(AVERAGE(SMALL(INDIRECT("c3:c22"),1),SMALL(INDIRECT("c3:c22"),2),SMALL(INDIRECT("c3:c22"),3),SMALL(INDIRECT("c3:c22"),4),SMALL(INDIRECT("c3:c22"),5), SMALL(INDIRECT("c3:c22"),6),SMALL(INDIRECT("c3:c22"),7),SMALL(INDIRECT("c3:c22"),8)),1)</f>
        <v>86</v>
      </c>
      <c r="G1" s="58"/>
    </row>
    <row r="2" spans="1:26" ht="21" customHeight="1" thickTop="1" thickBot="1">
      <c r="A2" s="60" t="s">
        <v>19</v>
      </c>
      <c r="B2" s="60" t="s">
        <v>20</v>
      </c>
      <c r="C2" s="60" t="s">
        <v>63</v>
      </c>
      <c r="D2" s="60" t="s">
        <v>64</v>
      </c>
      <c r="E2" s="60" t="s">
        <v>65</v>
      </c>
      <c r="F2" s="61" t="s">
        <v>66</v>
      </c>
      <c r="G2" s="60"/>
      <c r="I2" s="283" t="s">
        <v>67</v>
      </c>
      <c r="J2" s="283"/>
      <c r="K2" s="283"/>
      <c r="L2" s="283"/>
      <c r="M2" s="283"/>
      <c r="N2" s="283"/>
    </row>
    <row r="3" spans="1:26" ht="21" customHeight="1">
      <c r="A3" s="232">
        <v>45671</v>
      </c>
      <c r="B3" s="233" t="s">
        <v>68</v>
      </c>
      <c r="C3" s="233">
        <v>88</v>
      </c>
      <c r="D3" s="233">
        <v>71</v>
      </c>
      <c r="E3" s="233">
        <v>130</v>
      </c>
      <c r="F3" s="75">
        <f t="shared" ref="F3:F22" si="0">(((C3-G3)-D3)*113)/E3</f>
        <v>14.776923076923078</v>
      </c>
      <c r="G3" s="58"/>
      <c r="I3" s="168">
        <v>44986</v>
      </c>
      <c r="J3" s="169" t="s">
        <v>69</v>
      </c>
      <c r="K3" s="169">
        <v>96</v>
      </c>
      <c r="L3" s="169">
        <v>70</v>
      </c>
      <c r="M3" s="169">
        <v>133</v>
      </c>
      <c r="N3" s="170">
        <v>22.090225563909776</v>
      </c>
    </row>
    <row r="4" spans="1:26" ht="21" customHeight="1">
      <c r="A4" s="64">
        <v>45709</v>
      </c>
      <c r="B4" s="62" t="s">
        <v>70</v>
      </c>
      <c r="C4" s="62">
        <v>92</v>
      </c>
      <c r="D4" s="62">
        <v>72</v>
      </c>
      <c r="E4" s="62">
        <v>139</v>
      </c>
      <c r="F4" s="76">
        <f t="shared" si="0"/>
        <v>16.258992805755394</v>
      </c>
      <c r="G4" s="58"/>
      <c r="I4" s="191">
        <v>45022</v>
      </c>
      <c r="J4" s="192" t="s">
        <v>71</v>
      </c>
      <c r="K4" s="192">
        <v>88</v>
      </c>
      <c r="L4" s="192">
        <v>69</v>
      </c>
      <c r="M4" s="192">
        <v>119</v>
      </c>
      <c r="N4" s="193">
        <v>18.042016806722689</v>
      </c>
    </row>
    <row r="5" spans="1:26" ht="21" customHeight="1">
      <c r="A5" s="64">
        <v>45730</v>
      </c>
      <c r="B5" s="62" t="s">
        <v>70</v>
      </c>
      <c r="C5" s="62">
        <v>88</v>
      </c>
      <c r="D5" s="62">
        <v>72</v>
      </c>
      <c r="E5" s="62">
        <v>139</v>
      </c>
      <c r="F5" s="76">
        <f t="shared" si="0"/>
        <v>13.007194244604317</v>
      </c>
      <c r="G5" s="58"/>
      <c r="H5" s="77"/>
      <c r="I5" s="194">
        <v>45036</v>
      </c>
      <c r="J5" s="195" t="s">
        <v>39</v>
      </c>
      <c r="K5" s="195">
        <v>96</v>
      </c>
      <c r="L5" s="195">
        <v>70</v>
      </c>
      <c r="M5" s="195">
        <v>130</v>
      </c>
      <c r="N5" s="196">
        <v>22.6</v>
      </c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21" customHeight="1">
      <c r="A6" s="64">
        <v>45755</v>
      </c>
      <c r="B6" s="62" t="s">
        <v>59</v>
      </c>
      <c r="C6" s="62">
        <v>80</v>
      </c>
      <c r="D6" s="62">
        <v>70</v>
      </c>
      <c r="E6" s="62">
        <v>129</v>
      </c>
      <c r="F6" s="76">
        <f t="shared" si="0"/>
        <v>8.7596899224806197</v>
      </c>
      <c r="G6" s="58"/>
      <c r="H6" s="77"/>
      <c r="I6" s="191">
        <v>45093</v>
      </c>
      <c r="J6" s="192" t="s">
        <v>72</v>
      </c>
      <c r="K6" s="192">
        <v>94</v>
      </c>
      <c r="L6" s="192">
        <v>70</v>
      </c>
      <c r="M6" s="192">
        <v>118</v>
      </c>
      <c r="N6" s="193">
        <v>22.983050847457626</v>
      </c>
    </row>
    <row r="7" spans="1:26" ht="21" customHeight="1">
      <c r="A7" s="64">
        <v>45792</v>
      </c>
      <c r="B7" s="62" t="s">
        <v>73</v>
      </c>
      <c r="C7" s="62">
        <v>96</v>
      </c>
      <c r="D7" s="62">
        <v>70</v>
      </c>
      <c r="E7" s="62">
        <v>126</v>
      </c>
      <c r="F7" s="76">
        <f t="shared" si="0"/>
        <v>23.317460317460316</v>
      </c>
      <c r="G7" s="58"/>
      <c r="H7" s="77"/>
      <c r="I7" s="194">
        <v>45141</v>
      </c>
      <c r="J7" s="195" t="s">
        <v>74</v>
      </c>
      <c r="K7" s="195">
        <v>96</v>
      </c>
      <c r="L7" s="195">
        <v>72</v>
      </c>
      <c r="M7" s="195">
        <v>124</v>
      </c>
      <c r="N7" s="196">
        <v>21.870967741935484</v>
      </c>
    </row>
    <row r="8" spans="1:26" ht="21" customHeight="1">
      <c r="A8" s="64">
        <v>45835</v>
      </c>
      <c r="B8" s="62" t="s">
        <v>75</v>
      </c>
      <c r="C8" s="62">
        <v>85</v>
      </c>
      <c r="D8" s="62">
        <v>71</v>
      </c>
      <c r="E8" s="62">
        <v>127</v>
      </c>
      <c r="F8" s="76">
        <f t="shared" si="0"/>
        <v>12.456692913385826</v>
      </c>
      <c r="G8" s="58"/>
      <c r="I8" s="191">
        <v>45170</v>
      </c>
      <c r="J8" s="192" t="s">
        <v>69</v>
      </c>
      <c r="K8" s="192">
        <v>91</v>
      </c>
      <c r="L8" s="192">
        <v>70</v>
      </c>
      <c r="M8" s="192">
        <v>133</v>
      </c>
      <c r="N8" s="193">
        <v>17.842105263157894</v>
      </c>
    </row>
    <row r="9" spans="1:26" ht="21" customHeight="1">
      <c r="A9" s="64">
        <v>45848</v>
      </c>
      <c r="B9" s="62" t="s">
        <v>29</v>
      </c>
      <c r="C9" s="62">
        <v>96</v>
      </c>
      <c r="D9" s="62">
        <v>72</v>
      </c>
      <c r="E9" s="62">
        <v>135</v>
      </c>
      <c r="F9" s="76">
        <f t="shared" si="0"/>
        <v>20.088888888888889</v>
      </c>
      <c r="G9" s="58"/>
      <c r="H9" s="77"/>
      <c r="I9" s="194">
        <v>45247</v>
      </c>
      <c r="J9" s="195" t="s">
        <v>76</v>
      </c>
      <c r="K9" s="195">
        <v>90</v>
      </c>
      <c r="L9" s="195">
        <v>69</v>
      </c>
      <c r="M9" s="195">
        <v>119</v>
      </c>
      <c r="N9" s="196">
        <v>19.941176470588236</v>
      </c>
    </row>
    <row r="10" spans="1:26" ht="21" customHeight="1">
      <c r="A10" s="64">
        <v>45897</v>
      </c>
      <c r="B10" s="62" t="s">
        <v>74</v>
      </c>
      <c r="C10" s="62">
        <v>95</v>
      </c>
      <c r="D10" s="62">
        <v>72</v>
      </c>
      <c r="E10" s="62">
        <v>124</v>
      </c>
      <c r="F10" s="76">
        <f t="shared" si="0"/>
        <v>20.95967741935484</v>
      </c>
      <c r="G10" s="58"/>
      <c r="H10" s="77"/>
      <c r="I10" s="191">
        <v>45281</v>
      </c>
      <c r="J10" s="192" t="s">
        <v>77</v>
      </c>
      <c r="K10" s="192">
        <v>84</v>
      </c>
      <c r="L10" s="192">
        <v>70</v>
      </c>
      <c r="M10" s="192">
        <v>136</v>
      </c>
      <c r="N10" s="193">
        <v>11.632352941176471</v>
      </c>
    </row>
    <row r="11" spans="1:26" ht="21" customHeight="1">
      <c r="A11" s="64">
        <v>45926</v>
      </c>
      <c r="B11" s="62" t="s">
        <v>78</v>
      </c>
      <c r="C11" s="62">
        <v>95</v>
      </c>
      <c r="D11" s="62">
        <v>72</v>
      </c>
      <c r="E11" s="62">
        <v>125</v>
      </c>
      <c r="F11" s="76">
        <f t="shared" si="0"/>
        <v>20.792000000000002</v>
      </c>
      <c r="G11" s="58"/>
      <c r="H11" s="77"/>
      <c r="I11" s="194">
        <v>45321</v>
      </c>
      <c r="J11" s="195" t="s">
        <v>34</v>
      </c>
      <c r="K11" s="195">
        <v>85</v>
      </c>
      <c r="L11" s="195">
        <v>70</v>
      </c>
      <c r="M11" s="195">
        <v>127</v>
      </c>
      <c r="N11" s="196">
        <v>13.346456692913385</v>
      </c>
    </row>
    <row r="12" spans="1:26" ht="21" customHeight="1">
      <c r="A12" s="64">
        <v>46049</v>
      </c>
      <c r="B12" s="62" t="s">
        <v>29</v>
      </c>
      <c r="C12" s="62">
        <v>102</v>
      </c>
      <c r="D12" s="62">
        <v>73</v>
      </c>
      <c r="E12" s="62">
        <v>135</v>
      </c>
      <c r="F12" s="76">
        <f t="shared" si="0"/>
        <v>24.274074074074075</v>
      </c>
      <c r="G12" s="58"/>
      <c r="I12" s="191">
        <v>45345</v>
      </c>
      <c r="J12" s="192" t="s">
        <v>29</v>
      </c>
      <c r="K12" s="192">
        <v>93</v>
      </c>
      <c r="L12" s="192">
        <v>72</v>
      </c>
      <c r="M12" s="192">
        <v>135</v>
      </c>
      <c r="N12" s="193">
        <v>17.577777777777779</v>
      </c>
    </row>
    <row r="13" spans="1:26" ht="21" customHeight="1">
      <c r="A13" s="64">
        <v>46150</v>
      </c>
      <c r="B13" s="62" t="s">
        <v>34</v>
      </c>
      <c r="C13" s="62">
        <v>93</v>
      </c>
      <c r="D13" s="62">
        <v>69</v>
      </c>
      <c r="E13" s="62">
        <v>128</v>
      </c>
      <c r="F13" s="76">
        <f t="shared" si="0"/>
        <v>21.1875</v>
      </c>
      <c r="G13" s="58"/>
      <c r="I13" s="194">
        <v>45370</v>
      </c>
      <c r="J13" s="195" t="s">
        <v>73</v>
      </c>
      <c r="K13" s="195">
        <v>98</v>
      </c>
      <c r="L13" s="195">
        <v>70</v>
      </c>
      <c r="M13" s="195">
        <v>126</v>
      </c>
      <c r="N13" s="196">
        <v>25.111111111111111</v>
      </c>
    </row>
    <row r="14" spans="1:26" ht="21" customHeight="1">
      <c r="A14" s="223">
        <v>46174</v>
      </c>
      <c r="B14" s="60" t="s">
        <v>68</v>
      </c>
      <c r="C14" s="60">
        <v>96</v>
      </c>
      <c r="D14" s="60">
        <v>72</v>
      </c>
      <c r="E14" s="60">
        <v>128</v>
      </c>
      <c r="F14" s="76">
        <f t="shared" si="0"/>
        <v>21.1875</v>
      </c>
      <c r="G14" s="58"/>
      <c r="I14" s="191">
        <v>45400</v>
      </c>
      <c r="J14" s="192" t="s">
        <v>70</v>
      </c>
      <c r="K14" s="192">
        <v>93</v>
      </c>
      <c r="L14" s="192">
        <v>72</v>
      </c>
      <c r="M14" s="192">
        <v>139</v>
      </c>
      <c r="N14" s="193">
        <v>17.071942446043167</v>
      </c>
    </row>
    <row r="15" spans="1:26" ht="21" customHeight="1">
      <c r="A15" s="64">
        <v>45428</v>
      </c>
      <c r="B15" s="62" t="s">
        <v>74</v>
      </c>
      <c r="C15" s="62">
        <v>90</v>
      </c>
      <c r="D15" s="62">
        <v>72</v>
      </c>
      <c r="E15" s="62">
        <v>124</v>
      </c>
      <c r="F15" s="76">
        <f t="shared" si="0"/>
        <v>16.403225806451612</v>
      </c>
      <c r="G15" s="58"/>
      <c r="H15" s="77"/>
      <c r="I15" s="194">
        <v>45428</v>
      </c>
      <c r="J15" s="195" t="s">
        <v>74</v>
      </c>
      <c r="K15" s="195">
        <v>90</v>
      </c>
      <c r="L15" s="195">
        <v>72</v>
      </c>
      <c r="M15" s="195">
        <v>124</v>
      </c>
      <c r="N15" s="196">
        <v>16.403225806451612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21" customHeight="1">
      <c r="A16" s="64">
        <v>45471</v>
      </c>
      <c r="B16" s="62" t="s">
        <v>59</v>
      </c>
      <c r="C16" s="62">
        <v>89</v>
      </c>
      <c r="D16" s="62">
        <v>70</v>
      </c>
      <c r="E16" s="62">
        <v>129</v>
      </c>
      <c r="F16" s="76">
        <f t="shared" si="0"/>
        <v>16.643410852713178</v>
      </c>
      <c r="G16" s="58"/>
      <c r="I16" s="191">
        <v>45471</v>
      </c>
      <c r="J16" s="192" t="s">
        <v>59</v>
      </c>
      <c r="K16" s="192">
        <v>89</v>
      </c>
      <c r="L16" s="192">
        <v>70</v>
      </c>
      <c r="M16" s="192">
        <v>129</v>
      </c>
      <c r="N16" s="193">
        <v>16.643410852713178</v>
      </c>
    </row>
    <row r="17" spans="1:14" ht="21" customHeight="1">
      <c r="A17" s="64">
        <v>45492</v>
      </c>
      <c r="B17" s="62" t="s">
        <v>76</v>
      </c>
      <c r="C17" s="62">
        <v>89</v>
      </c>
      <c r="D17" s="62">
        <v>71</v>
      </c>
      <c r="E17" s="62">
        <v>123</v>
      </c>
      <c r="F17" s="76">
        <f t="shared" si="0"/>
        <v>16.536585365853657</v>
      </c>
      <c r="G17" s="58"/>
      <c r="I17" s="194">
        <v>45492</v>
      </c>
      <c r="J17" s="195" t="s">
        <v>76</v>
      </c>
      <c r="K17" s="195">
        <v>89</v>
      </c>
      <c r="L17" s="195">
        <v>71</v>
      </c>
      <c r="M17" s="195">
        <v>123</v>
      </c>
      <c r="N17" s="196">
        <v>16.536585365853657</v>
      </c>
    </row>
    <row r="18" spans="1:14" ht="21" customHeight="1">
      <c r="A18" s="64">
        <v>45506</v>
      </c>
      <c r="B18" s="62" t="s">
        <v>75</v>
      </c>
      <c r="C18" s="62">
        <v>91</v>
      </c>
      <c r="D18" s="62">
        <v>71</v>
      </c>
      <c r="E18" s="62">
        <v>127</v>
      </c>
      <c r="F18" s="76">
        <f t="shared" si="0"/>
        <v>17.795275590551181</v>
      </c>
      <c r="G18" s="58"/>
      <c r="I18" s="191">
        <v>45506</v>
      </c>
      <c r="J18" s="192" t="s">
        <v>75</v>
      </c>
      <c r="K18" s="192">
        <v>91</v>
      </c>
      <c r="L18" s="192">
        <v>71</v>
      </c>
      <c r="M18" s="192">
        <v>127</v>
      </c>
      <c r="N18" s="193">
        <v>17.795275590551181</v>
      </c>
    </row>
    <row r="19" spans="1:14" ht="21" customHeight="1">
      <c r="A19" s="64">
        <v>45555</v>
      </c>
      <c r="B19" s="62" t="s">
        <v>68</v>
      </c>
      <c r="C19" s="62">
        <v>91</v>
      </c>
      <c r="D19" s="62">
        <v>71</v>
      </c>
      <c r="E19" s="62">
        <v>130</v>
      </c>
      <c r="F19" s="76">
        <f t="shared" si="0"/>
        <v>17.384615384615383</v>
      </c>
      <c r="G19" s="58"/>
      <c r="I19" s="194">
        <v>45555</v>
      </c>
      <c r="J19" s="195" t="s">
        <v>68</v>
      </c>
      <c r="K19" s="195">
        <v>91</v>
      </c>
      <c r="L19" s="195">
        <v>71</v>
      </c>
      <c r="M19" s="195">
        <v>130</v>
      </c>
      <c r="N19" s="196">
        <v>17.384615384615383</v>
      </c>
    </row>
    <row r="20" spans="1:14" ht="21" customHeight="1">
      <c r="A20" s="64">
        <v>45580</v>
      </c>
      <c r="B20" s="62" t="s">
        <v>70</v>
      </c>
      <c r="C20" s="62">
        <v>100</v>
      </c>
      <c r="D20" s="62">
        <v>72</v>
      </c>
      <c r="E20" s="62">
        <v>139</v>
      </c>
      <c r="F20" s="76">
        <f t="shared" si="0"/>
        <v>22.762589928057555</v>
      </c>
      <c r="G20" s="58"/>
      <c r="I20" s="191">
        <v>45580</v>
      </c>
      <c r="J20" s="192" t="s">
        <v>70</v>
      </c>
      <c r="K20" s="192">
        <v>100</v>
      </c>
      <c r="L20" s="192">
        <v>72</v>
      </c>
      <c r="M20" s="192">
        <v>139</v>
      </c>
      <c r="N20" s="193">
        <v>22.762589928057555</v>
      </c>
    </row>
    <row r="21" spans="1:14" ht="21" customHeight="1">
      <c r="A21" s="64">
        <v>45611</v>
      </c>
      <c r="B21" s="62" t="s">
        <v>76</v>
      </c>
      <c r="C21" s="62">
        <v>79</v>
      </c>
      <c r="D21" s="62">
        <v>71</v>
      </c>
      <c r="E21" s="62">
        <v>123</v>
      </c>
      <c r="F21" s="76">
        <f t="shared" si="0"/>
        <v>7.3495934959349594</v>
      </c>
      <c r="G21" s="58"/>
      <c r="I21" s="194">
        <v>45611</v>
      </c>
      <c r="J21" s="195" t="s">
        <v>76</v>
      </c>
      <c r="K21" s="195">
        <v>79</v>
      </c>
      <c r="L21" s="195">
        <v>71</v>
      </c>
      <c r="M21" s="195">
        <v>123</v>
      </c>
      <c r="N21" s="196">
        <v>7.3495934959349594</v>
      </c>
    </row>
    <row r="22" spans="1:14" ht="21" customHeight="1" thickBot="1">
      <c r="A22" s="64">
        <v>45631</v>
      </c>
      <c r="B22" s="62" t="s">
        <v>79</v>
      </c>
      <c r="C22" s="62">
        <v>103</v>
      </c>
      <c r="D22" s="62">
        <v>71</v>
      </c>
      <c r="E22" s="62">
        <v>125</v>
      </c>
      <c r="F22" s="76">
        <f t="shared" si="0"/>
        <v>28.928000000000001</v>
      </c>
      <c r="G22" s="58"/>
      <c r="I22" s="211">
        <v>45631</v>
      </c>
      <c r="J22" s="212" t="s">
        <v>79</v>
      </c>
      <c r="K22" s="212">
        <v>103</v>
      </c>
      <c r="L22" s="212">
        <v>71</v>
      </c>
      <c r="M22" s="212">
        <v>125</v>
      </c>
      <c r="N22" s="213">
        <v>28.928000000000001</v>
      </c>
    </row>
    <row r="23" spans="1:14" ht="21" customHeight="1">
      <c r="A23" s="64"/>
      <c r="B23" s="62"/>
      <c r="C23" s="62"/>
      <c r="D23" s="62"/>
      <c r="E23" s="62"/>
      <c r="F23" s="65"/>
      <c r="G23" s="58"/>
    </row>
    <row r="24" spans="1:14" ht="21" customHeight="1">
      <c r="A24" s="64"/>
      <c r="B24" s="62"/>
      <c r="C24" s="62"/>
      <c r="D24" s="62"/>
      <c r="E24" s="62"/>
      <c r="F24" s="65"/>
      <c r="G24" s="58"/>
    </row>
    <row r="25" spans="1:14" ht="21" customHeight="1">
      <c r="A25" s="64"/>
      <c r="B25" s="62"/>
      <c r="C25" s="62"/>
      <c r="D25" s="62"/>
      <c r="E25" s="62"/>
      <c r="F25" s="65"/>
      <c r="G25" s="58"/>
    </row>
    <row r="26" spans="1:14" ht="21" customHeight="1">
      <c r="A26" s="64"/>
      <c r="B26" s="62"/>
      <c r="C26" s="62"/>
      <c r="D26" s="62"/>
      <c r="E26" s="62"/>
      <c r="F26" s="65"/>
      <c r="G26" s="58"/>
    </row>
    <row r="27" spans="1:14" ht="23.25" customHeight="1">
      <c r="A27" s="281" t="s">
        <v>80</v>
      </c>
      <c r="B27" s="286"/>
      <c r="C27" s="282" t="s">
        <v>81</v>
      </c>
      <c r="D27" s="282"/>
      <c r="E27" s="282"/>
      <c r="F27" s="66"/>
      <c r="G27" s="67"/>
    </row>
    <row r="28" spans="1:14" ht="21" customHeight="1">
      <c r="A28" s="64"/>
      <c r="B28" s="62"/>
      <c r="C28" s="62"/>
      <c r="D28" s="62"/>
      <c r="E28" s="62"/>
      <c r="F28" s="65"/>
      <c r="G28" s="58"/>
    </row>
    <row r="29" spans="1:14" ht="21" customHeight="1">
      <c r="A29" s="64"/>
      <c r="B29" s="62"/>
      <c r="C29" s="62"/>
      <c r="D29" s="62"/>
      <c r="E29" s="62"/>
      <c r="F29" s="65"/>
      <c r="G29" s="58"/>
    </row>
    <row r="30" spans="1:14" ht="21" customHeight="1">
      <c r="A30" s="58"/>
      <c r="B30" s="58"/>
      <c r="C30" s="58"/>
      <c r="D30" s="58"/>
      <c r="E30" s="58"/>
      <c r="F30" s="68"/>
      <c r="G30" s="58"/>
    </row>
    <row r="31" spans="1:14" ht="21" customHeight="1">
      <c r="A31" s="58"/>
      <c r="B31" s="58"/>
      <c r="C31" s="58"/>
      <c r="D31" s="58"/>
      <c r="E31" s="58"/>
      <c r="F31" s="68"/>
      <c r="G31" s="58"/>
    </row>
    <row r="32" spans="1:14" ht="21" customHeight="1">
      <c r="A32" s="58"/>
      <c r="B32" s="58"/>
      <c r="C32" s="58"/>
      <c r="D32" s="58"/>
      <c r="E32" s="58"/>
      <c r="F32" s="69"/>
      <c r="G32" s="58"/>
    </row>
    <row r="33" spans="1:7" ht="21" customHeight="1">
      <c r="A33" s="58"/>
      <c r="B33" s="58"/>
      <c r="C33" s="58"/>
      <c r="D33" s="58"/>
      <c r="E33" s="58"/>
      <c r="F33" s="69"/>
      <c r="G33" s="58"/>
    </row>
    <row r="34" spans="1:7" ht="21" customHeight="1">
      <c r="A34" s="58"/>
      <c r="B34" s="58"/>
      <c r="C34" s="58"/>
      <c r="D34" s="58"/>
      <c r="E34" s="58"/>
      <c r="F34" s="69"/>
      <c r="G34" s="58"/>
    </row>
    <row r="35" spans="1:7" ht="21" customHeight="1">
      <c r="A35" s="58"/>
      <c r="B35" s="58"/>
      <c r="C35" s="58"/>
      <c r="D35" s="58"/>
      <c r="E35" s="58"/>
      <c r="F35" s="69"/>
      <c r="G35" s="58"/>
    </row>
    <row r="36" spans="1:7" ht="21" customHeight="1">
      <c r="A36" s="58"/>
      <c r="B36" s="58"/>
      <c r="C36" s="58"/>
      <c r="D36" s="58"/>
      <c r="E36" s="58"/>
      <c r="F36" s="69"/>
      <c r="G36" s="58"/>
    </row>
    <row r="37" spans="1:7" ht="21" customHeight="1">
      <c r="A37" s="58"/>
      <c r="B37" s="58"/>
      <c r="C37" s="58"/>
      <c r="D37" s="58"/>
      <c r="E37" s="58"/>
      <c r="F37" s="69"/>
      <c r="G37" s="58"/>
    </row>
    <row r="38" spans="1:7" ht="21" customHeight="1">
      <c r="A38" s="58"/>
      <c r="B38" s="58"/>
      <c r="C38" s="58"/>
      <c r="D38" s="58"/>
      <c r="E38" s="58"/>
      <c r="F38" s="69"/>
      <c r="G38" s="58"/>
    </row>
    <row r="39" spans="1:7" ht="21" customHeight="1">
      <c r="A39" s="58"/>
      <c r="B39" s="58"/>
      <c r="C39" s="58"/>
      <c r="D39" s="58"/>
      <c r="E39" s="58"/>
      <c r="F39" s="69"/>
      <c r="G39" s="58"/>
    </row>
    <row r="40" spans="1:7" ht="21" customHeight="1">
      <c r="A40" s="58"/>
      <c r="B40" s="58"/>
      <c r="C40" s="58"/>
      <c r="D40" s="58"/>
      <c r="E40" s="58"/>
      <c r="F40" s="69"/>
      <c r="G40" s="58"/>
    </row>
    <row r="41" spans="1:7" ht="21" customHeight="1">
      <c r="A41" s="58"/>
      <c r="B41" s="58"/>
      <c r="C41" s="58"/>
      <c r="D41" s="58"/>
      <c r="E41" s="58"/>
      <c r="F41" s="69"/>
      <c r="G41" s="58"/>
    </row>
    <row r="42" spans="1:7" ht="21" customHeight="1">
      <c r="A42" s="58"/>
      <c r="B42" s="58"/>
      <c r="C42" s="58"/>
      <c r="D42" s="58"/>
      <c r="E42" s="58"/>
      <c r="F42" s="69"/>
      <c r="G42" s="58"/>
    </row>
    <row r="43" spans="1:7" ht="21" customHeight="1">
      <c r="A43" s="58"/>
      <c r="B43" s="58"/>
      <c r="C43" s="58"/>
      <c r="D43" s="58"/>
      <c r="E43" s="58"/>
      <c r="F43" s="69"/>
      <c r="G43" s="58"/>
    </row>
    <row r="44" spans="1:7" ht="21" customHeight="1">
      <c r="A44" s="58"/>
      <c r="B44" s="58"/>
      <c r="C44" s="58"/>
      <c r="D44" s="58"/>
      <c r="E44" s="58"/>
      <c r="F44" s="69"/>
      <c r="G44" s="58"/>
    </row>
    <row r="45" spans="1:7" ht="21" customHeight="1">
      <c r="A45" s="58"/>
      <c r="B45" s="58"/>
      <c r="C45" s="58"/>
      <c r="D45" s="58"/>
      <c r="E45" s="58"/>
      <c r="F45" s="69"/>
      <c r="G45" s="58"/>
    </row>
    <row r="46" spans="1:7" ht="21" customHeight="1">
      <c r="A46" s="58"/>
      <c r="B46" s="58"/>
      <c r="C46" s="58"/>
      <c r="D46" s="58"/>
      <c r="E46" s="58"/>
      <c r="F46" s="69"/>
      <c r="G46" s="58"/>
    </row>
    <row r="47" spans="1:7" ht="21" customHeight="1">
      <c r="A47" s="58"/>
      <c r="B47" s="58"/>
      <c r="C47" s="58"/>
      <c r="D47" s="58"/>
      <c r="E47" s="58"/>
      <c r="F47" s="69"/>
      <c r="G47" s="58"/>
    </row>
    <row r="48" spans="1:7" ht="21" customHeight="1">
      <c r="A48" s="58"/>
      <c r="B48" s="58"/>
      <c r="C48" s="58"/>
      <c r="D48" s="58"/>
      <c r="E48" s="58"/>
      <c r="F48" s="69"/>
      <c r="G48" s="58"/>
    </row>
    <row r="49" spans="1:7" ht="21" customHeight="1">
      <c r="A49" s="58"/>
      <c r="B49" s="58"/>
      <c r="C49" s="58"/>
      <c r="D49" s="58"/>
      <c r="E49" s="58"/>
      <c r="F49" s="69"/>
      <c r="G49" s="58"/>
    </row>
    <row r="50" spans="1:7" ht="21" customHeight="1">
      <c r="A50" s="58"/>
      <c r="B50" s="58"/>
      <c r="C50" s="58"/>
      <c r="D50" s="58"/>
      <c r="E50" s="58"/>
      <c r="F50" s="69"/>
      <c r="G50" s="58"/>
    </row>
    <row r="51" spans="1:7" ht="21" customHeight="1">
      <c r="A51" s="58"/>
      <c r="B51" s="58"/>
      <c r="C51" s="58"/>
      <c r="D51" s="58"/>
      <c r="E51" s="58"/>
      <c r="F51" s="69"/>
      <c r="G51" s="58"/>
    </row>
    <row r="52" spans="1:7" ht="21" customHeight="1">
      <c r="A52" s="58"/>
      <c r="B52" s="58"/>
      <c r="C52" s="58"/>
      <c r="D52" s="58"/>
      <c r="E52" s="58"/>
      <c r="F52" s="69"/>
      <c r="G52" s="58"/>
    </row>
    <row r="53" spans="1:7" ht="21" customHeight="1">
      <c r="A53" s="58"/>
      <c r="B53" s="58"/>
      <c r="C53" s="58"/>
      <c r="D53" s="58"/>
      <c r="E53" s="58"/>
      <c r="F53" s="69"/>
      <c r="G53" s="58"/>
    </row>
    <row r="54" spans="1:7" ht="21" customHeight="1">
      <c r="A54" s="58"/>
      <c r="B54" s="58"/>
      <c r="C54" s="58"/>
      <c r="D54" s="58"/>
      <c r="E54" s="58"/>
      <c r="F54" s="69"/>
      <c r="G54" s="58"/>
    </row>
    <row r="55" spans="1:7" ht="21" customHeight="1">
      <c r="A55" s="58"/>
      <c r="B55" s="58"/>
      <c r="C55" s="58"/>
      <c r="D55" s="58"/>
      <c r="E55" s="58"/>
      <c r="F55" s="69"/>
      <c r="G55" s="58"/>
    </row>
    <row r="56" spans="1:7" ht="21" customHeight="1">
      <c r="A56" s="58"/>
      <c r="B56" s="58"/>
      <c r="C56" s="58"/>
      <c r="D56" s="58"/>
      <c r="E56" s="58"/>
      <c r="F56" s="69"/>
      <c r="G56" s="58"/>
    </row>
    <row r="57" spans="1:7" ht="21" customHeight="1">
      <c r="A57" s="58"/>
      <c r="B57" s="58"/>
      <c r="C57" s="58"/>
      <c r="D57" s="58"/>
      <c r="E57" s="58"/>
      <c r="F57" s="69"/>
      <c r="G57" s="58"/>
    </row>
    <row r="58" spans="1:7" ht="21" customHeight="1">
      <c r="A58" s="58"/>
      <c r="B58" s="58"/>
      <c r="C58" s="58"/>
      <c r="D58" s="58"/>
      <c r="E58" s="58"/>
      <c r="F58" s="69"/>
      <c r="G58" s="58"/>
    </row>
    <row r="59" spans="1:7" ht="21" customHeight="1">
      <c r="A59" s="58"/>
      <c r="B59" s="58"/>
      <c r="C59" s="58"/>
      <c r="D59" s="58"/>
      <c r="E59" s="58"/>
      <c r="F59" s="69"/>
      <c r="G59" s="58"/>
    </row>
    <row r="60" spans="1:7" ht="21" customHeight="1">
      <c r="A60" s="58"/>
      <c r="B60" s="58"/>
      <c r="C60" s="58"/>
      <c r="D60" s="58"/>
      <c r="E60" s="58"/>
      <c r="F60" s="69"/>
      <c r="G60" s="58"/>
    </row>
    <row r="61" spans="1:7" ht="21" customHeight="1">
      <c r="A61" s="58"/>
      <c r="B61" s="58"/>
      <c r="C61" s="58"/>
      <c r="D61" s="58"/>
      <c r="E61" s="58"/>
      <c r="F61" s="69"/>
      <c r="G61" s="58"/>
    </row>
    <row r="62" spans="1:7" ht="21" customHeight="1">
      <c r="A62" s="58"/>
      <c r="B62" s="58"/>
      <c r="C62" s="58"/>
      <c r="D62" s="58"/>
      <c r="E62" s="58"/>
      <c r="F62" s="69"/>
      <c r="G62" s="58"/>
    </row>
    <row r="63" spans="1:7" ht="21" customHeight="1">
      <c r="A63" s="58"/>
      <c r="B63" s="58"/>
      <c r="C63" s="58"/>
      <c r="D63" s="58"/>
      <c r="E63" s="58"/>
      <c r="F63" s="69"/>
      <c r="G63" s="58"/>
    </row>
    <row r="64" spans="1:7" ht="21" customHeight="1">
      <c r="A64" s="58"/>
      <c r="B64" s="58"/>
      <c r="C64" s="58"/>
      <c r="D64" s="58"/>
      <c r="E64" s="58"/>
      <c r="F64" s="69"/>
      <c r="G64" s="58"/>
    </row>
    <row r="65" spans="1:7" ht="21" customHeight="1">
      <c r="A65" s="58"/>
      <c r="B65" s="58"/>
      <c r="C65" s="58"/>
      <c r="D65" s="58"/>
      <c r="E65" s="58"/>
      <c r="F65" s="69"/>
      <c r="G65" s="58"/>
    </row>
    <row r="66" spans="1:7" ht="21" customHeight="1">
      <c r="A66" s="58"/>
      <c r="B66" s="58"/>
      <c r="C66" s="58"/>
      <c r="D66" s="58"/>
      <c r="E66" s="58"/>
      <c r="F66" s="69"/>
      <c r="G66" s="58"/>
    </row>
    <row r="67" spans="1:7" ht="21" customHeight="1">
      <c r="A67" s="58"/>
      <c r="B67" s="58"/>
      <c r="C67" s="58"/>
      <c r="D67" s="58"/>
      <c r="E67" s="58"/>
      <c r="F67" s="69"/>
      <c r="G67" s="58"/>
    </row>
    <row r="68" spans="1:7" ht="21" customHeight="1">
      <c r="A68" s="58"/>
      <c r="B68" s="58"/>
      <c r="C68" s="58"/>
      <c r="D68" s="58"/>
      <c r="E68" s="58"/>
      <c r="F68" s="69"/>
      <c r="G68" s="58"/>
    </row>
    <row r="69" spans="1:7" ht="21" customHeight="1">
      <c r="A69" s="58"/>
      <c r="B69" s="58"/>
      <c r="C69" s="58"/>
      <c r="D69" s="58"/>
      <c r="E69" s="58"/>
      <c r="F69" s="69"/>
      <c r="G69" s="58"/>
    </row>
    <row r="70" spans="1:7" ht="21" customHeight="1">
      <c r="A70" s="58"/>
      <c r="B70" s="58"/>
      <c r="C70" s="58"/>
      <c r="D70" s="58"/>
      <c r="E70" s="58"/>
      <c r="F70" s="69"/>
      <c r="G70" s="58"/>
    </row>
    <row r="71" spans="1:7" ht="21" customHeight="1">
      <c r="A71" s="58"/>
      <c r="B71" s="58"/>
      <c r="C71" s="58"/>
      <c r="D71" s="58"/>
      <c r="E71" s="58"/>
      <c r="F71" s="69"/>
      <c r="G71" s="58"/>
    </row>
    <row r="72" spans="1:7" ht="21" customHeight="1">
      <c r="A72" s="58"/>
      <c r="B72" s="58"/>
      <c r="C72" s="58"/>
      <c r="D72" s="58"/>
      <c r="E72" s="58"/>
      <c r="F72" s="69"/>
      <c r="G72" s="58"/>
    </row>
    <row r="73" spans="1:7" ht="21" customHeight="1">
      <c r="A73" s="58"/>
      <c r="B73" s="58"/>
      <c r="C73" s="58"/>
      <c r="D73" s="58"/>
      <c r="E73" s="58"/>
      <c r="F73" s="69"/>
      <c r="G73" s="58"/>
    </row>
    <row r="74" spans="1:7" ht="21" customHeight="1">
      <c r="A74" s="58"/>
      <c r="B74" s="58"/>
      <c r="C74" s="58"/>
      <c r="D74" s="58"/>
      <c r="E74" s="58"/>
      <c r="F74" s="69"/>
      <c r="G74" s="58"/>
    </row>
    <row r="75" spans="1:7" ht="21" customHeight="1">
      <c r="A75" s="58"/>
      <c r="B75" s="58"/>
      <c r="C75" s="58"/>
      <c r="D75" s="58"/>
      <c r="E75" s="58"/>
      <c r="F75" s="69"/>
      <c r="G75" s="58"/>
    </row>
    <row r="76" spans="1:7" ht="21" customHeight="1">
      <c r="A76" s="58"/>
      <c r="B76" s="58"/>
      <c r="C76" s="58"/>
      <c r="D76" s="58"/>
      <c r="E76" s="58"/>
      <c r="F76" s="69"/>
      <c r="G76" s="58"/>
    </row>
    <row r="77" spans="1:7" ht="21" customHeight="1">
      <c r="A77" s="58"/>
      <c r="B77" s="58"/>
      <c r="C77" s="58"/>
      <c r="D77" s="58"/>
      <c r="E77" s="58"/>
      <c r="F77" s="69"/>
      <c r="G77" s="58"/>
    </row>
    <row r="78" spans="1:7" ht="21" customHeight="1">
      <c r="A78" s="58"/>
      <c r="B78" s="58"/>
      <c r="C78" s="58"/>
      <c r="D78" s="58"/>
      <c r="E78" s="58"/>
      <c r="F78" s="69"/>
      <c r="G78" s="58"/>
    </row>
    <row r="79" spans="1:7" ht="21" customHeight="1">
      <c r="A79" s="58"/>
      <c r="B79" s="58"/>
      <c r="C79" s="58"/>
      <c r="D79" s="58"/>
      <c r="E79" s="58"/>
      <c r="F79" s="69"/>
      <c r="G79" s="58"/>
    </row>
    <row r="80" spans="1:7" ht="21" customHeight="1">
      <c r="A80" s="58"/>
      <c r="B80" s="58"/>
      <c r="C80" s="58"/>
      <c r="D80" s="58"/>
      <c r="E80" s="58"/>
      <c r="F80" s="69"/>
      <c r="G80" s="58"/>
    </row>
    <row r="81" spans="1:7" ht="21" customHeight="1">
      <c r="A81" s="58"/>
      <c r="B81" s="58"/>
      <c r="C81" s="58"/>
      <c r="D81" s="58"/>
      <c r="E81" s="58"/>
      <c r="F81" s="69"/>
      <c r="G81" s="58"/>
    </row>
    <row r="82" spans="1:7" ht="21" customHeight="1">
      <c r="A82" s="58"/>
      <c r="B82" s="58"/>
      <c r="C82" s="58"/>
      <c r="D82" s="58"/>
      <c r="E82" s="58"/>
      <c r="F82" s="69"/>
      <c r="G82" s="58"/>
    </row>
    <row r="83" spans="1:7" ht="21" customHeight="1">
      <c r="A83" s="58"/>
      <c r="B83" s="58"/>
      <c r="C83" s="58"/>
      <c r="D83" s="58"/>
      <c r="E83" s="58"/>
      <c r="F83" s="69"/>
      <c r="G83" s="58"/>
    </row>
    <row r="84" spans="1:7" ht="21" customHeight="1">
      <c r="A84" s="58"/>
      <c r="B84" s="58"/>
      <c r="C84" s="58"/>
      <c r="D84" s="58"/>
      <c r="E84" s="58"/>
      <c r="F84" s="69"/>
      <c r="G84" s="58"/>
    </row>
    <row r="85" spans="1:7" ht="21" customHeight="1">
      <c r="A85" s="58"/>
      <c r="B85" s="58"/>
      <c r="C85" s="58"/>
      <c r="D85" s="58"/>
      <c r="E85" s="58"/>
      <c r="F85" s="69"/>
      <c r="G85" s="58"/>
    </row>
    <row r="86" spans="1:7" ht="21" customHeight="1">
      <c r="A86" s="58"/>
      <c r="B86" s="58"/>
      <c r="C86" s="58"/>
      <c r="D86" s="58"/>
      <c r="E86" s="58"/>
      <c r="F86" s="69"/>
      <c r="G86" s="58"/>
    </row>
    <row r="87" spans="1:7" ht="21" customHeight="1">
      <c r="A87" s="58"/>
      <c r="B87" s="58"/>
      <c r="C87" s="58"/>
      <c r="D87" s="58"/>
      <c r="E87" s="58"/>
      <c r="F87" s="69"/>
      <c r="G87" s="58"/>
    </row>
    <row r="88" spans="1:7" ht="21" customHeight="1">
      <c r="A88" s="58"/>
      <c r="B88" s="58"/>
      <c r="C88" s="58"/>
      <c r="D88" s="58"/>
      <c r="E88" s="58"/>
      <c r="F88" s="69"/>
      <c r="G88" s="58"/>
    </row>
    <row r="89" spans="1:7" ht="21" customHeight="1">
      <c r="A89" s="58"/>
      <c r="B89" s="58"/>
      <c r="C89" s="58"/>
      <c r="D89" s="58"/>
      <c r="E89" s="58"/>
      <c r="F89" s="69"/>
      <c r="G89" s="58"/>
    </row>
    <row r="90" spans="1:7" ht="21" customHeight="1">
      <c r="A90" s="58"/>
      <c r="B90" s="58"/>
      <c r="C90" s="58"/>
      <c r="D90" s="58"/>
      <c r="E90" s="58"/>
      <c r="F90" s="69"/>
      <c r="G90" s="58"/>
    </row>
    <row r="91" spans="1:7" ht="21" customHeight="1">
      <c r="A91" s="58"/>
      <c r="B91" s="58"/>
      <c r="C91" s="58"/>
      <c r="D91" s="58"/>
      <c r="E91" s="58"/>
      <c r="F91" s="69"/>
      <c r="G91" s="58"/>
    </row>
    <row r="92" spans="1:7" ht="21" customHeight="1">
      <c r="A92" s="58"/>
      <c r="B92" s="58"/>
      <c r="C92" s="58"/>
      <c r="D92" s="58"/>
      <c r="E92" s="58"/>
      <c r="F92" s="69"/>
      <c r="G92" s="58"/>
    </row>
    <row r="93" spans="1:7" ht="21" customHeight="1">
      <c r="A93" s="58"/>
      <c r="B93" s="58"/>
      <c r="C93" s="58"/>
      <c r="D93" s="58"/>
      <c r="E93" s="58"/>
      <c r="F93" s="69"/>
      <c r="G93" s="58"/>
    </row>
    <row r="94" spans="1:7" ht="21" customHeight="1">
      <c r="A94" s="58"/>
      <c r="B94" s="58"/>
      <c r="C94" s="58"/>
      <c r="D94" s="58"/>
      <c r="E94" s="58"/>
      <c r="F94" s="69"/>
      <c r="G94" s="58"/>
    </row>
    <row r="95" spans="1:7" ht="21" customHeight="1">
      <c r="A95" s="58"/>
      <c r="B95" s="58"/>
      <c r="C95" s="58"/>
      <c r="D95" s="58"/>
      <c r="E95" s="58"/>
      <c r="F95" s="69"/>
      <c r="G95" s="58"/>
    </row>
    <row r="96" spans="1:7" ht="21" customHeight="1">
      <c r="A96" s="58"/>
      <c r="B96" s="58"/>
      <c r="C96" s="58"/>
      <c r="D96" s="58"/>
      <c r="E96" s="58"/>
      <c r="F96" s="69"/>
      <c r="G96" s="58"/>
    </row>
    <row r="97" spans="1:7" ht="21" customHeight="1">
      <c r="A97" s="58"/>
      <c r="B97" s="58"/>
      <c r="C97" s="58"/>
      <c r="D97" s="58"/>
      <c r="E97" s="58"/>
      <c r="F97" s="69"/>
      <c r="G97" s="58"/>
    </row>
    <row r="98" spans="1:7" ht="21" customHeight="1">
      <c r="A98" s="58"/>
      <c r="B98" s="58"/>
      <c r="C98" s="58"/>
      <c r="D98" s="58"/>
      <c r="E98" s="58"/>
      <c r="F98" s="69"/>
      <c r="G98" s="58"/>
    </row>
    <row r="99" spans="1:7" ht="21" customHeight="1">
      <c r="A99" s="58"/>
      <c r="B99" s="58"/>
      <c r="C99" s="58"/>
      <c r="D99" s="58"/>
      <c r="E99" s="58"/>
      <c r="F99" s="69"/>
      <c r="G99" s="58"/>
    </row>
    <row r="100" spans="1:7" ht="21" customHeight="1">
      <c r="A100" s="58"/>
      <c r="B100" s="58"/>
      <c r="C100" s="58"/>
      <c r="D100" s="58"/>
      <c r="E100" s="58"/>
      <c r="F100" s="69"/>
      <c r="G100" s="58"/>
    </row>
    <row r="101" spans="1:7" ht="21" customHeight="1">
      <c r="A101" s="58"/>
      <c r="B101" s="58"/>
      <c r="C101" s="58"/>
      <c r="D101" s="58"/>
      <c r="E101" s="58"/>
      <c r="F101" s="69"/>
      <c r="G101" s="58"/>
    </row>
    <row r="102" spans="1:7" ht="21" customHeight="1">
      <c r="A102" s="58"/>
      <c r="B102" s="58"/>
      <c r="C102" s="58"/>
      <c r="D102" s="58"/>
      <c r="E102" s="58"/>
      <c r="F102" s="69"/>
      <c r="G102" s="58"/>
    </row>
    <row r="103" spans="1:7" ht="21" customHeight="1">
      <c r="A103" s="58"/>
      <c r="B103" s="58"/>
      <c r="C103" s="58"/>
      <c r="D103" s="58"/>
      <c r="E103" s="58"/>
      <c r="F103" s="69"/>
      <c r="G103" s="58"/>
    </row>
    <row r="104" spans="1:7" ht="21" customHeight="1">
      <c r="A104" s="58"/>
      <c r="B104" s="58"/>
      <c r="C104" s="58"/>
      <c r="D104" s="58"/>
      <c r="E104" s="58"/>
      <c r="F104" s="69"/>
      <c r="G104" s="58"/>
    </row>
    <row r="105" spans="1:7" ht="21" customHeight="1">
      <c r="A105" s="58"/>
      <c r="B105" s="58"/>
      <c r="C105" s="58"/>
      <c r="D105" s="58"/>
      <c r="E105" s="58"/>
      <c r="F105" s="69"/>
      <c r="G105" s="58"/>
    </row>
    <row r="106" spans="1:7" ht="21" customHeight="1">
      <c r="A106" s="58"/>
      <c r="B106" s="58"/>
      <c r="C106" s="58"/>
      <c r="D106" s="58"/>
      <c r="E106" s="58"/>
      <c r="F106" s="69"/>
      <c r="G106" s="58"/>
    </row>
    <row r="107" spans="1:7" ht="21" customHeight="1">
      <c r="A107" s="58"/>
      <c r="B107" s="58"/>
      <c r="C107" s="58"/>
      <c r="D107" s="58"/>
      <c r="E107" s="58"/>
      <c r="F107" s="69"/>
      <c r="G107" s="58"/>
    </row>
    <row r="108" spans="1:7" ht="21" customHeight="1">
      <c r="A108" s="58"/>
      <c r="B108" s="58"/>
      <c r="C108" s="58"/>
      <c r="D108" s="58"/>
      <c r="E108" s="58"/>
      <c r="F108" s="69"/>
      <c r="G108" s="58"/>
    </row>
    <row r="109" spans="1:7" ht="21" customHeight="1">
      <c r="A109" s="58"/>
      <c r="B109" s="58"/>
      <c r="C109" s="58"/>
      <c r="D109" s="58"/>
      <c r="E109" s="58"/>
      <c r="F109" s="69"/>
      <c r="G109" s="58"/>
    </row>
    <row r="110" spans="1:7" ht="21" customHeight="1">
      <c r="A110" s="58"/>
      <c r="B110" s="58"/>
      <c r="C110" s="58"/>
      <c r="D110" s="58"/>
      <c r="E110" s="58"/>
      <c r="F110" s="69"/>
      <c r="G110" s="58"/>
    </row>
    <row r="111" spans="1:7" ht="21" customHeight="1">
      <c r="A111" s="58"/>
      <c r="B111" s="58"/>
      <c r="C111" s="58"/>
      <c r="D111" s="58"/>
      <c r="E111" s="58"/>
      <c r="F111" s="69"/>
      <c r="G111" s="58"/>
    </row>
    <row r="112" spans="1:7" ht="21" customHeight="1">
      <c r="A112" s="58"/>
      <c r="B112" s="58"/>
      <c r="C112" s="58"/>
      <c r="D112" s="58"/>
      <c r="E112" s="58"/>
      <c r="F112" s="69"/>
      <c r="G112" s="58"/>
    </row>
    <row r="113" spans="1:7" ht="21" customHeight="1">
      <c r="A113" s="58"/>
      <c r="B113" s="58"/>
      <c r="C113" s="58"/>
      <c r="D113" s="58"/>
      <c r="E113" s="58"/>
      <c r="F113" s="69"/>
      <c r="G113" s="58"/>
    </row>
    <row r="114" spans="1:7" ht="21" customHeight="1">
      <c r="A114" s="58"/>
      <c r="B114" s="58"/>
      <c r="C114" s="58"/>
      <c r="D114" s="58"/>
      <c r="E114" s="58"/>
      <c r="F114" s="69"/>
      <c r="G114" s="58"/>
    </row>
    <row r="115" spans="1:7" ht="21" customHeight="1">
      <c r="A115" s="58"/>
      <c r="B115" s="58"/>
      <c r="C115" s="58"/>
      <c r="D115" s="58"/>
      <c r="E115" s="58"/>
      <c r="F115" s="69"/>
      <c r="G115" s="58"/>
    </row>
    <row r="116" spans="1:7" ht="21" customHeight="1">
      <c r="A116" s="58"/>
      <c r="B116" s="58"/>
      <c r="C116" s="58"/>
      <c r="D116" s="58"/>
      <c r="E116" s="58"/>
      <c r="F116" s="69"/>
      <c r="G116" s="58"/>
    </row>
    <row r="117" spans="1:7" ht="21" customHeight="1">
      <c r="A117" s="58"/>
      <c r="B117" s="58"/>
      <c r="C117" s="58"/>
      <c r="D117" s="58"/>
      <c r="E117" s="58"/>
      <c r="F117" s="69"/>
      <c r="G117" s="58"/>
    </row>
    <row r="118" spans="1:7" ht="21" customHeight="1">
      <c r="A118" s="58"/>
      <c r="B118" s="58"/>
      <c r="C118" s="58"/>
      <c r="D118" s="58"/>
      <c r="E118" s="58"/>
      <c r="F118" s="69"/>
      <c r="G118" s="58"/>
    </row>
    <row r="119" spans="1:7" ht="21" customHeight="1">
      <c r="A119" s="58"/>
      <c r="B119" s="58"/>
      <c r="C119" s="58"/>
      <c r="D119" s="58"/>
      <c r="E119" s="58"/>
      <c r="F119" s="69"/>
      <c r="G119" s="58"/>
    </row>
    <row r="120" spans="1:7" ht="21" customHeight="1">
      <c r="A120" s="58"/>
      <c r="B120" s="58"/>
      <c r="C120" s="58"/>
      <c r="D120" s="58"/>
      <c r="E120" s="58"/>
      <c r="F120" s="69"/>
      <c r="G120" s="58"/>
    </row>
    <row r="121" spans="1:7" ht="21" customHeight="1">
      <c r="A121" s="58"/>
      <c r="B121" s="58"/>
      <c r="C121" s="58"/>
      <c r="D121" s="58"/>
      <c r="E121" s="58"/>
      <c r="F121" s="69"/>
      <c r="G121" s="58"/>
    </row>
    <row r="122" spans="1:7" ht="21" customHeight="1">
      <c r="A122" s="58"/>
      <c r="B122" s="58"/>
      <c r="C122" s="58"/>
      <c r="D122" s="58"/>
      <c r="E122" s="58"/>
      <c r="F122" s="69"/>
      <c r="G122" s="58"/>
    </row>
    <row r="123" spans="1:7" ht="21" customHeight="1">
      <c r="A123" s="58"/>
      <c r="B123" s="58"/>
      <c r="C123" s="58"/>
      <c r="D123" s="58"/>
      <c r="E123" s="58"/>
      <c r="F123" s="69"/>
      <c r="G123" s="58"/>
    </row>
    <row r="124" spans="1:7" ht="21" customHeight="1">
      <c r="A124" s="58"/>
      <c r="B124" s="58"/>
      <c r="C124" s="58"/>
      <c r="D124" s="58"/>
      <c r="E124" s="58"/>
      <c r="F124" s="69"/>
      <c r="G124" s="58"/>
    </row>
    <row r="125" spans="1:7" ht="21" customHeight="1">
      <c r="A125" s="58"/>
      <c r="B125" s="58"/>
      <c r="C125" s="58"/>
      <c r="D125" s="58"/>
      <c r="E125" s="58"/>
      <c r="F125" s="69"/>
      <c r="G125" s="58"/>
    </row>
    <row r="126" spans="1:7" ht="21" customHeight="1">
      <c r="A126" s="58"/>
      <c r="B126" s="58"/>
      <c r="C126" s="58"/>
      <c r="D126" s="58"/>
      <c r="E126" s="58"/>
      <c r="F126" s="69"/>
      <c r="G126" s="58"/>
    </row>
    <row r="127" spans="1:7" ht="21" customHeight="1">
      <c r="A127" s="58"/>
      <c r="B127" s="58"/>
      <c r="C127" s="58"/>
      <c r="D127" s="58"/>
      <c r="E127" s="58"/>
      <c r="F127" s="69"/>
      <c r="G127" s="58"/>
    </row>
    <row r="128" spans="1:7" ht="21" customHeight="1">
      <c r="A128" s="58"/>
      <c r="B128" s="58"/>
      <c r="C128" s="58"/>
      <c r="D128" s="58"/>
      <c r="E128" s="58"/>
      <c r="F128" s="69"/>
      <c r="G128" s="58"/>
    </row>
    <row r="129" spans="1:7" ht="21" customHeight="1">
      <c r="A129" s="58"/>
      <c r="B129" s="58"/>
      <c r="C129" s="58"/>
      <c r="D129" s="58"/>
      <c r="E129" s="58"/>
      <c r="F129" s="69"/>
      <c r="G129" s="58"/>
    </row>
    <row r="130" spans="1:7" ht="21" customHeight="1">
      <c r="A130" s="58"/>
      <c r="B130" s="58"/>
      <c r="C130" s="58"/>
      <c r="D130" s="58"/>
      <c r="E130" s="58"/>
      <c r="F130" s="69"/>
      <c r="G130" s="58"/>
    </row>
    <row r="131" spans="1:7" ht="21" customHeight="1">
      <c r="A131" s="58"/>
      <c r="B131" s="58"/>
      <c r="C131" s="58"/>
      <c r="D131" s="58"/>
      <c r="E131" s="58"/>
      <c r="F131" s="69"/>
      <c r="G131" s="58"/>
    </row>
    <row r="132" spans="1:7" ht="21" customHeight="1">
      <c r="A132" s="58"/>
      <c r="B132" s="58"/>
      <c r="C132" s="58"/>
      <c r="D132" s="58"/>
      <c r="E132" s="58"/>
      <c r="F132" s="69"/>
      <c r="G132" s="58"/>
    </row>
    <row r="133" spans="1:7" ht="21" customHeight="1">
      <c r="A133" s="58"/>
      <c r="B133" s="58"/>
      <c r="C133" s="58"/>
      <c r="D133" s="58"/>
      <c r="E133" s="58"/>
      <c r="F133" s="69"/>
      <c r="G133" s="58"/>
    </row>
    <row r="134" spans="1:7" ht="21" customHeight="1">
      <c r="A134" s="58"/>
      <c r="B134" s="58"/>
      <c r="C134" s="58"/>
      <c r="D134" s="58"/>
      <c r="E134" s="58"/>
      <c r="F134" s="69"/>
      <c r="G134" s="58"/>
    </row>
    <row r="135" spans="1:7" ht="21" customHeight="1">
      <c r="A135" s="58"/>
      <c r="B135" s="58"/>
      <c r="C135" s="58"/>
      <c r="D135" s="58"/>
      <c r="E135" s="58"/>
      <c r="F135" s="69"/>
      <c r="G135" s="58"/>
    </row>
    <row r="136" spans="1:7" ht="21" customHeight="1">
      <c r="A136" s="58"/>
      <c r="B136" s="58"/>
      <c r="C136" s="58"/>
      <c r="D136" s="58"/>
      <c r="E136" s="58"/>
      <c r="F136" s="69"/>
      <c r="G136" s="58"/>
    </row>
    <row r="137" spans="1:7" ht="21" customHeight="1">
      <c r="A137" s="58"/>
      <c r="B137" s="58"/>
      <c r="C137" s="58"/>
      <c r="D137" s="58"/>
      <c r="E137" s="58"/>
      <c r="F137" s="69"/>
      <c r="G137" s="58"/>
    </row>
    <row r="138" spans="1:7" ht="21" customHeight="1">
      <c r="A138" s="58"/>
      <c r="B138" s="58"/>
      <c r="C138" s="58"/>
      <c r="D138" s="58"/>
      <c r="E138" s="58"/>
      <c r="F138" s="69"/>
      <c r="G138" s="58"/>
    </row>
    <row r="139" spans="1:7" ht="21" customHeight="1">
      <c r="A139" s="58"/>
      <c r="B139" s="58"/>
      <c r="C139" s="58"/>
      <c r="D139" s="58"/>
      <c r="E139" s="58"/>
      <c r="F139" s="69"/>
      <c r="G139" s="58"/>
    </row>
    <row r="140" spans="1:7" ht="21" customHeight="1">
      <c r="A140" s="58"/>
      <c r="B140" s="58"/>
      <c r="C140" s="58"/>
      <c r="D140" s="58"/>
      <c r="E140" s="58"/>
      <c r="F140" s="69"/>
      <c r="G140" s="58"/>
    </row>
    <row r="141" spans="1:7" ht="21" customHeight="1">
      <c r="A141" s="58"/>
      <c r="B141" s="58"/>
      <c r="C141" s="58"/>
      <c r="D141" s="58"/>
      <c r="E141" s="58"/>
      <c r="F141" s="69"/>
      <c r="G141" s="58"/>
    </row>
    <row r="142" spans="1:7" ht="21" customHeight="1">
      <c r="A142" s="58"/>
      <c r="B142" s="58"/>
      <c r="C142" s="58"/>
      <c r="D142" s="58"/>
      <c r="E142" s="58"/>
      <c r="F142" s="69"/>
      <c r="G142" s="58"/>
    </row>
    <row r="143" spans="1:7" ht="21" customHeight="1">
      <c r="A143" s="58"/>
      <c r="B143" s="58"/>
      <c r="C143" s="58"/>
      <c r="D143" s="58"/>
      <c r="E143" s="58"/>
      <c r="F143" s="69"/>
      <c r="G143" s="58"/>
    </row>
    <row r="144" spans="1:7" ht="21" customHeight="1">
      <c r="A144" s="58"/>
      <c r="B144" s="58"/>
      <c r="C144" s="58"/>
      <c r="D144" s="58"/>
      <c r="E144" s="58"/>
      <c r="F144" s="69"/>
      <c r="G144" s="58"/>
    </row>
    <row r="145" spans="1:7" ht="21" customHeight="1">
      <c r="A145" s="58"/>
      <c r="B145" s="58"/>
      <c r="C145" s="58"/>
      <c r="D145" s="58"/>
      <c r="E145" s="58"/>
      <c r="F145" s="69"/>
      <c r="G145" s="58"/>
    </row>
    <row r="146" spans="1:7" ht="21" customHeight="1">
      <c r="A146" s="58"/>
      <c r="B146" s="58"/>
      <c r="C146" s="58"/>
      <c r="D146" s="58"/>
      <c r="E146" s="58"/>
      <c r="F146" s="69"/>
      <c r="G146" s="58"/>
    </row>
    <row r="147" spans="1:7" ht="21" customHeight="1">
      <c r="A147" s="58"/>
      <c r="B147" s="58"/>
      <c r="C147" s="58"/>
      <c r="D147" s="58"/>
      <c r="E147" s="58"/>
      <c r="F147" s="69"/>
      <c r="G147" s="58"/>
    </row>
    <row r="148" spans="1:7" ht="21" customHeight="1">
      <c r="A148" s="58"/>
      <c r="B148" s="58"/>
      <c r="C148" s="58"/>
      <c r="D148" s="58"/>
      <c r="E148" s="58"/>
      <c r="F148" s="69"/>
      <c r="G148" s="58"/>
    </row>
    <row r="149" spans="1:7" ht="21" customHeight="1">
      <c r="A149" s="58"/>
      <c r="B149" s="58"/>
      <c r="C149" s="58"/>
      <c r="D149" s="58"/>
      <c r="E149" s="58"/>
      <c r="F149" s="69"/>
      <c r="G149" s="58"/>
    </row>
    <row r="150" spans="1:7" ht="21" customHeight="1">
      <c r="A150" s="58"/>
      <c r="B150" s="58"/>
      <c r="C150" s="58"/>
      <c r="D150" s="58"/>
      <c r="E150" s="58"/>
      <c r="F150" s="69"/>
      <c r="G150" s="58"/>
    </row>
    <row r="151" spans="1:7" ht="21" customHeight="1">
      <c r="A151" s="58"/>
      <c r="B151" s="58"/>
      <c r="C151" s="58"/>
      <c r="D151" s="58"/>
      <c r="E151" s="58"/>
      <c r="F151" s="69"/>
      <c r="G151" s="58"/>
    </row>
    <row r="152" spans="1:7" ht="21" customHeight="1">
      <c r="A152" s="58"/>
      <c r="B152" s="58"/>
      <c r="C152" s="58"/>
      <c r="D152" s="58"/>
      <c r="E152" s="58"/>
      <c r="F152" s="69"/>
      <c r="G152" s="58"/>
    </row>
    <row r="153" spans="1:7" ht="21" customHeight="1">
      <c r="A153" s="58"/>
      <c r="B153" s="58"/>
      <c r="C153" s="58"/>
      <c r="D153" s="58"/>
      <c r="E153" s="58"/>
      <c r="F153" s="69"/>
      <c r="G153" s="58"/>
    </row>
    <row r="154" spans="1:7" ht="21" customHeight="1">
      <c r="A154" s="58"/>
      <c r="B154" s="58"/>
      <c r="C154" s="58"/>
      <c r="D154" s="58"/>
      <c r="E154" s="58"/>
      <c r="F154" s="69"/>
      <c r="G154" s="58"/>
    </row>
    <row r="155" spans="1:7" ht="21" customHeight="1">
      <c r="A155" s="58"/>
      <c r="B155" s="58"/>
      <c r="C155" s="58"/>
      <c r="D155" s="58"/>
      <c r="E155" s="58"/>
      <c r="F155" s="69"/>
      <c r="G155" s="58"/>
    </row>
    <row r="156" spans="1:7" ht="21" customHeight="1">
      <c r="A156" s="58"/>
      <c r="B156" s="58"/>
      <c r="C156" s="58"/>
      <c r="D156" s="58"/>
      <c r="E156" s="58"/>
      <c r="F156" s="69"/>
      <c r="G156" s="58"/>
    </row>
    <row r="157" spans="1:7" ht="21" customHeight="1">
      <c r="A157" s="58"/>
      <c r="B157" s="58"/>
      <c r="C157" s="58"/>
      <c r="D157" s="58"/>
      <c r="E157" s="58"/>
      <c r="F157" s="69"/>
      <c r="G157" s="58"/>
    </row>
    <row r="158" spans="1:7" ht="21" customHeight="1">
      <c r="A158" s="58"/>
      <c r="B158" s="58"/>
      <c r="C158" s="58"/>
      <c r="D158" s="58"/>
      <c r="E158" s="58"/>
      <c r="F158" s="69"/>
      <c r="G158" s="58"/>
    </row>
    <row r="159" spans="1:7" ht="21" customHeight="1">
      <c r="A159" s="58"/>
      <c r="B159" s="58"/>
      <c r="C159" s="58"/>
      <c r="D159" s="58"/>
      <c r="E159" s="58"/>
      <c r="F159" s="69"/>
      <c r="G159" s="58"/>
    </row>
    <row r="160" spans="1:7" ht="21" customHeight="1">
      <c r="A160" s="58"/>
      <c r="B160" s="58"/>
      <c r="C160" s="58"/>
      <c r="D160" s="58"/>
      <c r="E160" s="58"/>
      <c r="F160" s="69"/>
      <c r="G160" s="58"/>
    </row>
    <row r="161" spans="1:7" ht="21" customHeight="1">
      <c r="A161" s="58"/>
      <c r="B161" s="58"/>
      <c r="C161" s="58"/>
      <c r="D161" s="58"/>
      <c r="E161" s="58"/>
      <c r="F161" s="69"/>
      <c r="G161" s="58"/>
    </row>
    <row r="162" spans="1:7" ht="21" customHeight="1">
      <c r="A162" s="58"/>
      <c r="B162" s="58"/>
      <c r="C162" s="58"/>
      <c r="D162" s="58"/>
      <c r="E162" s="58"/>
      <c r="F162" s="69"/>
      <c r="G162" s="58"/>
    </row>
    <row r="163" spans="1:7" ht="21" customHeight="1">
      <c r="A163" s="58"/>
      <c r="B163" s="58"/>
      <c r="C163" s="58"/>
      <c r="D163" s="58"/>
      <c r="E163" s="58"/>
      <c r="F163" s="69"/>
      <c r="G163" s="58"/>
    </row>
    <row r="164" spans="1:7" ht="21" customHeight="1">
      <c r="A164" s="58"/>
      <c r="B164" s="58"/>
      <c r="C164" s="58"/>
      <c r="D164" s="58"/>
      <c r="E164" s="58"/>
      <c r="F164" s="69"/>
      <c r="G164" s="58"/>
    </row>
    <row r="165" spans="1:7" ht="21" customHeight="1">
      <c r="A165" s="58"/>
      <c r="B165" s="58"/>
      <c r="C165" s="58"/>
      <c r="D165" s="58"/>
      <c r="E165" s="58"/>
      <c r="F165" s="69"/>
      <c r="G165" s="58"/>
    </row>
    <row r="166" spans="1:7" ht="21" customHeight="1">
      <c r="A166" s="58"/>
      <c r="B166" s="58"/>
      <c r="C166" s="58"/>
      <c r="D166" s="58"/>
      <c r="E166" s="58"/>
      <c r="F166" s="69"/>
      <c r="G166" s="58"/>
    </row>
    <row r="167" spans="1:7" ht="21" customHeight="1">
      <c r="A167" s="58"/>
      <c r="B167" s="58"/>
      <c r="C167" s="58"/>
      <c r="D167" s="58"/>
      <c r="E167" s="58"/>
      <c r="F167" s="69"/>
      <c r="G167" s="58"/>
    </row>
    <row r="168" spans="1:7" ht="21" customHeight="1">
      <c r="A168" s="58"/>
      <c r="B168" s="58"/>
      <c r="C168" s="58"/>
      <c r="D168" s="58"/>
      <c r="E168" s="58"/>
      <c r="F168" s="69"/>
      <c r="G168" s="58"/>
    </row>
    <row r="169" spans="1:7" ht="21" customHeight="1">
      <c r="A169" s="58"/>
      <c r="B169" s="58"/>
      <c r="C169" s="58"/>
      <c r="D169" s="58"/>
      <c r="E169" s="58"/>
      <c r="F169" s="69"/>
      <c r="G169" s="58"/>
    </row>
    <row r="170" spans="1:7" ht="21" customHeight="1">
      <c r="A170" s="58"/>
      <c r="B170" s="58"/>
      <c r="C170" s="58"/>
      <c r="D170" s="58"/>
      <c r="E170" s="58"/>
      <c r="F170" s="69"/>
      <c r="G170" s="58"/>
    </row>
    <row r="171" spans="1:7" ht="21" customHeight="1">
      <c r="A171" s="58"/>
      <c r="B171" s="58"/>
      <c r="C171" s="58"/>
      <c r="D171" s="58"/>
      <c r="E171" s="58"/>
      <c r="F171" s="69"/>
      <c r="G171" s="58"/>
    </row>
    <row r="172" spans="1:7" ht="21" customHeight="1">
      <c r="A172" s="58"/>
      <c r="B172" s="58"/>
      <c r="C172" s="58"/>
      <c r="D172" s="58"/>
      <c r="E172" s="58"/>
      <c r="F172" s="69"/>
      <c r="G172" s="58"/>
    </row>
    <row r="173" spans="1:7" ht="21" customHeight="1">
      <c r="A173" s="58"/>
      <c r="B173" s="58"/>
      <c r="C173" s="58"/>
      <c r="D173" s="58"/>
      <c r="E173" s="58"/>
      <c r="F173" s="69"/>
      <c r="G173" s="58"/>
    </row>
    <row r="174" spans="1:7" ht="21" customHeight="1">
      <c r="A174" s="58"/>
      <c r="B174" s="58"/>
      <c r="C174" s="58"/>
      <c r="D174" s="58"/>
      <c r="E174" s="58"/>
      <c r="F174" s="69"/>
      <c r="G174" s="58"/>
    </row>
    <row r="175" spans="1:7" ht="21" customHeight="1">
      <c r="A175" s="58"/>
      <c r="B175" s="58"/>
      <c r="C175" s="58"/>
      <c r="D175" s="58"/>
      <c r="E175" s="58"/>
      <c r="F175" s="69"/>
      <c r="G175" s="58"/>
    </row>
    <row r="176" spans="1:7" ht="21" customHeight="1">
      <c r="A176" s="58"/>
      <c r="B176" s="58"/>
      <c r="C176" s="58"/>
      <c r="D176" s="58"/>
      <c r="E176" s="58"/>
      <c r="F176" s="69"/>
      <c r="G176" s="58"/>
    </row>
    <row r="177" spans="1:7" ht="21" customHeight="1">
      <c r="A177" s="58"/>
      <c r="B177" s="58"/>
      <c r="C177" s="58"/>
      <c r="D177" s="58"/>
      <c r="E177" s="58"/>
      <c r="F177" s="69"/>
      <c r="G177" s="58"/>
    </row>
    <row r="178" spans="1:7" ht="21" customHeight="1">
      <c r="A178" s="58"/>
      <c r="B178" s="58"/>
      <c r="C178" s="58"/>
      <c r="D178" s="58"/>
      <c r="E178" s="58"/>
      <c r="F178" s="69"/>
      <c r="G178" s="58"/>
    </row>
    <row r="179" spans="1:7" ht="21" customHeight="1">
      <c r="A179" s="58"/>
      <c r="B179" s="58"/>
      <c r="C179" s="58"/>
      <c r="D179" s="58"/>
      <c r="E179" s="58"/>
      <c r="F179" s="69"/>
      <c r="G179" s="58"/>
    </row>
    <row r="180" spans="1:7" ht="21" customHeight="1">
      <c r="A180" s="58"/>
      <c r="B180" s="58"/>
      <c r="C180" s="58"/>
      <c r="D180" s="58"/>
      <c r="E180" s="58"/>
      <c r="F180" s="69"/>
      <c r="G180" s="58"/>
    </row>
    <row r="181" spans="1:7" ht="21" customHeight="1">
      <c r="A181" s="58"/>
      <c r="B181" s="58"/>
      <c r="C181" s="58"/>
      <c r="D181" s="58"/>
      <c r="E181" s="58"/>
      <c r="F181" s="69"/>
      <c r="G181" s="58"/>
    </row>
    <row r="182" spans="1:7" ht="21" customHeight="1">
      <c r="A182" s="58"/>
      <c r="B182" s="58"/>
      <c r="C182" s="58"/>
      <c r="D182" s="58"/>
      <c r="E182" s="58"/>
      <c r="F182" s="69"/>
      <c r="G182" s="58"/>
    </row>
    <row r="183" spans="1:7" ht="21" customHeight="1">
      <c r="A183" s="58"/>
      <c r="B183" s="58"/>
      <c r="C183" s="58"/>
      <c r="D183" s="58"/>
      <c r="E183" s="58"/>
      <c r="F183" s="69"/>
      <c r="G183" s="58"/>
    </row>
    <row r="184" spans="1:7" ht="21" customHeight="1">
      <c r="A184" s="58"/>
      <c r="B184" s="58"/>
      <c r="C184" s="58"/>
      <c r="D184" s="58"/>
      <c r="E184" s="58"/>
      <c r="F184" s="69"/>
      <c r="G184" s="58"/>
    </row>
    <row r="185" spans="1:7" ht="21" customHeight="1">
      <c r="A185" s="58"/>
      <c r="B185" s="58"/>
      <c r="C185" s="58"/>
      <c r="D185" s="58"/>
      <c r="E185" s="58"/>
      <c r="F185" s="69"/>
      <c r="G185" s="58"/>
    </row>
    <row r="186" spans="1:7" ht="21" customHeight="1">
      <c r="A186" s="58"/>
      <c r="B186" s="58"/>
      <c r="C186" s="58"/>
      <c r="D186" s="58"/>
      <c r="E186" s="58"/>
      <c r="F186" s="69"/>
      <c r="G186" s="58"/>
    </row>
    <row r="187" spans="1:7" ht="21" customHeight="1">
      <c r="A187" s="58"/>
      <c r="B187" s="58"/>
      <c r="C187" s="58"/>
      <c r="D187" s="58"/>
      <c r="E187" s="58"/>
      <c r="F187" s="69"/>
      <c r="G187" s="58"/>
    </row>
    <row r="188" spans="1:7" ht="21" customHeight="1">
      <c r="A188" s="58"/>
      <c r="B188" s="58"/>
      <c r="C188" s="58"/>
      <c r="D188" s="58"/>
      <c r="E188" s="58"/>
      <c r="F188" s="69"/>
      <c r="G188" s="58"/>
    </row>
    <row r="189" spans="1:7" ht="21" customHeight="1">
      <c r="A189" s="58"/>
      <c r="B189" s="58"/>
      <c r="C189" s="58"/>
      <c r="D189" s="58"/>
      <c r="E189" s="58"/>
      <c r="F189" s="69"/>
      <c r="G189" s="58"/>
    </row>
    <row r="190" spans="1:7" ht="21" customHeight="1">
      <c r="A190" s="58"/>
      <c r="B190" s="58"/>
      <c r="C190" s="58"/>
      <c r="D190" s="58"/>
      <c r="E190" s="58"/>
      <c r="F190" s="69"/>
      <c r="G190" s="58"/>
    </row>
    <row r="191" spans="1:7" ht="21" customHeight="1">
      <c r="A191" s="58"/>
      <c r="B191" s="58"/>
      <c r="C191" s="58"/>
      <c r="D191" s="58"/>
      <c r="E191" s="58"/>
      <c r="F191" s="69"/>
      <c r="G191" s="58"/>
    </row>
    <row r="192" spans="1:7" ht="21" customHeight="1">
      <c r="A192" s="58"/>
      <c r="B192" s="58"/>
      <c r="C192" s="58"/>
      <c r="D192" s="58"/>
      <c r="E192" s="58"/>
      <c r="F192" s="69"/>
      <c r="G192" s="58"/>
    </row>
    <row r="193" spans="1:7" ht="21" customHeight="1">
      <c r="A193" s="58"/>
      <c r="B193" s="58"/>
      <c r="C193" s="58"/>
      <c r="D193" s="58"/>
      <c r="E193" s="58"/>
      <c r="F193" s="69"/>
      <c r="G193" s="58"/>
    </row>
    <row r="194" spans="1:7" ht="21" customHeight="1">
      <c r="A194" s="58"/>
      <c r="B194" s="58"/>
      <c r="C194" s="58"/>
      <c r="D194" s="58"/>
      <c r="E194" s="58"/>
      <c r="F194" s="69"/>
      <c r="G194" s="58"/>
    </row>
    <row r="195" spans="1:7" ht="21" customHeight="1">
      <c r="A195" s="58"/>
      <c r="B195" s="58"/>
      <c r="C195" s="58"/>
      <c r="D195" s="58"/>
      <c r="E195" s="58"/>
      <c r="F195" s="69"/>
      <c r="G195" s="58"/>
    </row>
    <row r="196" spans="1:7" ht="21" customHeight="1">
      <c r="A196" s="58"/>
      <c r="B196" s="58"/>
      <c r="C196" s="58"/>
      <c r="D196" s="58"/>
      <c r="E196" s="58"/>
      <c r="F196" s="69"/>
      <c r="G196" s="58"/>
    </row>
    <row r="197" spans="1:7" ht="21" customHeight="1">
      <c r="A197" s="58"/>
      <c r="B197" s="58"/>
      <c r="C197" s="58"/>
      <c r="D197" s="58"/>
      <c r="E197" s="58"/>
      <c r="F197" s="69"/>
      <c r="G197" s="58"/>
    </row>
    <row r="198" spans="1:7" ht="21" customHeight="1">
      <c r="A198" s="58"/>
      <c r="B198" s="58"/>
      <c r="C198" s="58"/>
      <c r="D198" s="58"/>
      <c r="E198" s="58"/>
      <c r="F198" s="69"/>
      <c r="G198" s="58"/>
    </row>
    <row r="199" spans="1:7" ht="21" customHeight="1">
      <c r="A199" s="58"/>
      <c r="B199" s="58"/>
      <c r="C199" s="58"/>
      <c r="D199" s="58"/>
      <c r="E199" s="58"/>
      <c r="F199" s="69"/>
      <c r="G199" s="58"/>
    </row>
    <row r="200" spans="1:7" ht="21" customHeight="1">
      <c r="A200" s="58"/>
      <c r="B200" s="58"/>
      <c r="C200" s="58"/>
      <c r="D200" s="58"/>
      <c r="E200" s="58"/>
      <c r="F200" s="69"/>
      <c r="G200" s="58"/>
    </row>
    <row r="201" spans="1:7" ht="21" customHeight="1">
      <c r="A201" s="58"/>
      <c r="B201" s="58"/>
      <c r="C201" s="58"/>
      <c r="D201" s="58"/>
      <c r="E201" s="58"/>
      <c r="F201" s="69"/>
      <c r="G201" s="58"/>
    </row>
    <row r="202" spans="1:7" ht="21" customHeight="1">
      <c r="A202" s="58"/>
      <c r="B202" s="58"/>
      <c r="C202" s="58"/>
      <c r="D202" s="58"/>
      <c r="E202" s="58"/>
      <c r="F202" s="69"/>
      <c r="G202" s="58"/>
    </row>
    <row r="203" spans="1:7" ht="21" customHeight="1">
      <c r="A203" s="58"/>
      <c r="B203" s="58"/>
      <c r="C203" s="58"/>
      <c r="D203" s="58"/>
      <c r="E203" s="58"/>
      <c r="F203" s="69"/>
      <c r="G203" s="58"/>
    </row>
    <row r="204" spans="1:7" ht="21" customHeight="1">
      <c r="A204" s="58"/>
      <c r="B204" s="58"/>
      <c r="C204" s="58"/>
      <c r="D204" s="58"/>
      <c r="E204" s="58"/>
      <c r="F204" s="69"/>
      <c r="G204" s="58"/>
    </row>
    <row r="205" spans="1:7" ht="21" customHeight="1">
      <c r="A205" s="58"/>
      <c r="B205" s="58"/>
      <c r="C205" s="58"/>
      <c r="D205" s="58"/>
      <c r="E205" s="58"/>
      <c r="F205" s="69"/>
      <c r="G205" s="58"/>
    </row>
    <row r="206" spans="1:7" ht="21" customHeight="1">
      <c r="A206" s="58"/>
      <c r="B206" s="58"/>
      <c r="C206" s="58"/>
      <c r="D206" s="58"/>
      <c r="E206" s="58"/>
      <c r="F206" s="69"/>
      <c r="G206" s="58"/>
    </row>
    <row r="207" spans="1:7" ht="21" customHeight="1">
      <c r="A207" s="58"/>
      <c r="B207" s="58"/>
      <c r="C207" s="58"/>
      <c r="D207" s="58"/>
      <c r="E207" s="58"/>
      <c r="F207" s="69"/>
      <c r="G207" s="58"/>
    </row>
    <row r="208" spans="1:7" ht="21" customHeight="1">
      <c r="A208" s="58"/>
      <c r="B208" s="58"/>
      <c r="C208" s="58"/>
      <c r="D208" s="58"/>
      <c r="E208" s="58"/>
      <c r="F208" s="69"/>
      <c r="G208" s="58"/>
    </row>
    <row r="209" spans="1:7" ht="21" customHeight="1">
      <c r="A209" s="58"/>
      <c r="B209" s="58"/>
      <c r="C209" s="58"/>
      <c r="D209" s="58"/>
      <c r="E209" s="58"/>
      <c r="F209" s="69"/>
      <c r="G209" s="58"/>
    </row>
    <row r="210" spans="1:7" ht="21" customHeight="1">
      <c r="A210" s="58"/>
      <c r="B210" s="58"/>
      <c r="C210" s="58"/>
      <c r="D210" s="58"/>
      <c r="E210" s="58"/>
      <c r="F210" s="69"/>
      <c r="G210" s="58"/>
    </row>
    <row r="211" spans="1:7" ht="21" customHeight="1">
      <c r="A211" s="58"/>
      <c r="B211" s="58"/>
      <c r="C211" s="58"/>
      <c r="D211" s="58"/>
      <c r="E211" s="58"/>
      <c r="F211" s="69"/>
      <c r="G211" s="58"/>
    </row>
    <row r="212" spans="1:7" ht="21" customHeight="1">
      <c r="A212" s="58"/>
      <c r="B212" s="58"/>
      <c r="C212" s="58"/>
      <c r="D212" s="58"/>
      <c r="E212" s="58"/>
      <c r="F212" s="69"/>
      <c r="G212" s="58"/>
    </row>
    <row r="213" spans="1:7" ht="21" customHeight="1">
      <c r="A213" s="58"/>
      <c r="B213" s="58"/>
      <c r="C213" s="58"/>
      <c r="D213" s="58"/>
      <c r="E213" s="58"/>
      <c r="F213" s="69"/>
      <c r="G213" s="58"/>
    </row>
    <row r="214" spans="1:7" ht="21" customHeight="1">
      <c r="A214" s="58"/>
      <c r="B214" s="58"/>
      <c r="C214" s="58"/>
      <c r="D214" s="58"/>
      <c r="E214" s="58"/>
      <c r="F214" s="69"/>
      <c r="G214" s="58"/>
    </row>
    <row r="215" spans="1:7" ht="21" customHeight="1">
      <c r="A215" s="58"/>
      <c r="B215" s="58"/>
      <c r="C215" s="58"/>
      <c r="D215" s="58"/>
      <c r="E215" s="58"/>
      <c r="F215" s="69"/>
      <c r="G215" s="58"/>
    </row>
    <row r="216" spans="1:7" ht="21" customHeight="1">
      <c r="A216" s="58"/>
      <c r="B216" s="58"/>
      <c r="C216" s="58"/>
      <c r="D216" s="58"/>
      <c r="E216" s="58"/>
      <c r="F216" s="69"/>
      <c r="G216" s="58"/>
    </row>
    <row r="217" spans="1:7" ht="21" customHeight="1">
      <c r="A217" s="58"/>
      <c r="B217" s="58"/>
      <c r="C217" s="58"/>
      <c r="D217" s="58"/>
      <c r="E217" s="58"/>
      <c r="F217" s="69"/>
      <c r="G217" s="58"/>
    </row>
    <row r="218" spans="1:7" ht="21" customHeight="1">
      <c r="A218" s="58"/>
      <c r="B218" s="58"/>
      <c r="C218" s="58"/>
      <c r="D218" s="58"/>
      <c r="E218" s="58"/>
      <c r="F218" s="69"/>
      <c r="G218" s="58"/>
    </row>
    <row r="219" spans="1:7" ht="21" customHeight="1">
      <c r="A219" s="58"/>
      <c r="B219" s="58"/>
      <c r="C219" s="58"/>
      <c r="D219" s="58"/>
      <c r="E219" s="58"/>
      <c r="F219" s="69"/>
      <c r="G219" s="58"/>
    </row>
    <row r="220" spans="1:7" ht="21" customHeight="1">
      <c r="A220" s="58"/>
      <c r="B220" s="58"/>
      <c r="C220" s="58"/>
      <c r="D220" s="58"/>
      <c r="E220" s="58"/>
      <c r="F220" s="69"/>
      <c r="G220" s="58"/>
    </row>
    <row r="221" spans="1:7" ht="21" customHeight="1">
      <c r="A221" s="58"/>
      <c r="B221" s="58"/>
      <c r="C221" s="58"/>
      <c r="D221" s="58"/>
      <c r="E221" s="58"/>
      <c r="F221" s="69"/>
      <c r="G221" s="58"/>
    </row>
    <row r="222" spans="1:7" ht="21" customHeight="1">
      <c r="A222" s="58"/>
      <c r="B222" s="58"/>
      <c r="C222" s="58"/>
      <c r="D222" s="58"/>
      <c r="E222" s="58"/>
      <c r="F222" s="69"/>
      <c r="G222" s="58"/>
    </row>
    <row r="223" spans="1:7" ht="21" customHeight="1">
      <c r="A223" s="58"/>
      <c r="B223" s="58"/>
      <c r="C223" s="58"/>
      <c r="D223" s="58"/>
      <c r="E223" s="58"/>
      <c r="F223" s="69"/>
      <c r="G223" s="58"/>
    </row>
    <row r="224" spans="1:7" ht="21" customHeight="1">
      <c r="A224" s="58"/>
      <c r="B224" s="58"/>
      <c r="C224" s="58"/>
      <c r="D224" s="58"/>
      <c r="E224" s="58"/>
      <c r="F224" s="69"/>
      <c r="G224" s="58"/>
    </row>
    <row r="225" spans="1:7" ht="21" customHeight="1">
      <c r="A225" s="58"/>
      <c r="B225" s="58"/>
      <c r="C225" s="58"/>
      <c r="D225" s="58"/>
      <c r="E225" s="58"/>
      <c r="F225" s="69"/>
      <c r="G225" s="58"/>
    </row>
    <row r="226" spans="1:7" ht="21" customHeight="1">
      <c r="A226" s="58"/>
      <c r="B226" s="58"/>
      <c r="C226" s="58"/>
      <c r="D226" s="58"/>
      <c r="E226" s="58"/>
      <c r="F226" s="69"/>
      <c r="G226" s="58"/>
    </row>
    <row r="227" spans="1:7" ht="21" customHeight="1">
      <c r="A227" s="58"/>
      <c r="B227" s="58"/>
      <c r="C227" s="58"/>
      <c r="D227" s="58"/>
      <c r="E227" s="58"/>
      <c r="F227" s="69"/>
      <c r="G227" s="58"/>
    </row>
    <row r="228" spans="1:7" ht="21" customHeight="1">
      <c r="B228" s="70"/>
      <c r="F228" s="66"/>
    </row>
    <row r="229" spans="1:7" ht="21" customHeight="1">
      <c r="B229" s="70"/>
      <c r="F229" s="66"/>
    </row>
    <row r="230" spans="1:7" ht="21" customHeight="1">
      <c r="B230" s="70"/>
      <c r="F230" s="66"/>
    </row>
    <row r="231" spans="1:7" ht="21" customHeight="1">
      <c r="B231" s="70"/>
      <c r="F231" s="66"/>
    </row>
    <row r="232" spans="1:7" ht="21" customHeight="1">
      <c r="B232" s="70"/>
      <c r="F232" s="66"/>
    </row>
    <row r="233" spans="1:7" ht="21" customHeight="1">
      <c r="B233" s="70"/>
      <c r="F233" s="66"/>
    </row>
    <row r="234" spans="1:7" ht="21" customHeight="1">
      <c r="B234" s="70"/>
      <c r="F234" s="66"/>
    </row>
    <row r="235" spans="1:7" ht="21" customHeight="1">
      <c r="B235" s="70"/>
      <c r="F235" s="66"/>
    </row>
    <row r="236" spans="1:7" ht="21" customHeight="1">
      <c r="B236" s="70"/>
      <c r="F236" s="66"/>
    </row>
    <row r="237" spans="1:7" ht="21" customHeight="1">
      <c r="B237" s="70"/>
      <c r="F237" s="66"/>
    </row>
    <row r="238" spans="1:7" ht="21" customHeight="1">
      <c r="B238" s="70"/>
      <c r="F238" s="66"/>
    </row>
    <row r="239" spans="1:7" ht="21" customHeight="1">
      <c r="B239" s="70"/>
      <c r="F239" s="66"/>
    </row>
    <row r="240" spans="1:7" ht="21" customHeight="1">
      <c r="B240" s="70"/>
      <c r="F240" s="66"/>
    </row>
    <row r="241" spans="2:6" ht="21" customHeight="1">
      <c r="B241" s="70"/>
      <c r="F241" s="66"/>
    </row>
    <row r="242" spans="2:6" ht="21" customHeight="1">
      <c r="B242" s="70"/>
      <c r="F242" s="66"/>
    </row>
    <row r="243" spans="2:6" ht="21" customHeight="1">
      <c r="B243" s="70"/>
      <c r="F243" s="66"/>
    </row>
    <row r="244" spans="2:6" ht="21" customHeight="1">
      <c r="B244" s="70"/>
      <c r="F244" s="66"/>
    </row>
    <row r="245" spans="2:6" ht="21" customHeight="1">
      <c r="B245" s="70"/>
      <c r="F245" s="66"/>
    </row>
    <row r="246" spans="2:6" ht="21" customHeight="1">
      <c r="B246" s="70"/>
      <c r="F246" s="66"/>
    </row>
    <row r="247" spans="2:6" ht="21" customHeight="1">
      <c r="B247" s="70"/>
      <c r="F247" s="66"/>
    </row>
    <row r="248" spans="2:6" ht="21" customHeight="1">
      <c r="B248" s="70"/>
      <c r="F248" s="66"/>
    </row>
    <row r="249" spans="2:6" ht="21" customHeight="1">
      <c r="B249" s="70"/>
      <c r="F249" s="66"/>
    </row>
    <row r="250" spans="2:6" ht="21" customHeight="1">
      <c r="B250" s="70"/>
      <c r="F250" s="66"/>
    </row>
    <row r="251" spans="2:6" ht="21" customHeight="1">
      <c r="B251" s="70"/>
      <c r="F251" s="66"/>
    </row>
    <row r="252" spans="2:6" ht="21" customHeight="1">
      <c r="B252" s="70"/>
      <c r="F252" s="66"/>
    </row>
    <row r="253" spans="2:6" ht="21" customHeight="1">
      <c r="B253" s="70"/>
      <c r="F253" s="66"/>
    </row>
    <row r="254" spans="2:6" ht="21" customHeight="1">
      <c r="B254" s="70"/>
      <c r="F254" s="66"/>
    </row>
    <row r="255" spans="2:6" ht="21" customHeight="1">
      <c r="B255" s="70"/>
      <c r="F255" s="66"/>
    </row>
    <row r="256" spans="2:6" ht="21" customHeight="1">
      <c r="B256" s="70"/>
      <c r="F256" s="66"/>
    </row>
    <row r="257" spans="2:6" ht="21" customHeight="1">
      <c r="B257" s="70"/>
      <c r="F257" s="66"/>
    </row>
    <row r="258" spans="2:6" ht="21" customHeight="1">
      <c r="B258" s="70"/>
      <c r="F258" s="66"/>
    </row>
    <row r="259" spans="2:6" ht="21" customHeight="1">
      <c r="B259" s="70"/>
      <c r="F259" s="66"/>
    </row>
    <row r="260" spans="2:6" ht="21" customHeight="1">
      <c r="B260" s="70"/>
      <c r="F260" s="66"/>
    </row>
    <row r="261" spans="2:6" ht="21" customHeight="1">
      <c r="B261" s="70"/>
      <c r="F261" s="66"/>
    </row>
    <row r="262" spans="2:6" ht="21" customHeight="1">
      <c r="B262" s="70"/>
      <c r="F262" s="66"/>
    </row>
    <row r="263" spans="2:6" ht="21" customHeight="1">
      <c r="B263" s="70"/>
      <c r="F263" s="66"/>
    </row>
    <row r="264" spans="2:6" ht="21" customHeight="1">
      <c r="B264" s="70"/>
      <c r="F264" s="66"/>
    </row>
    <row r="265" spans="2:6" ht="21" customHeight="1">
      <c r="B265" s="70"/>
      <c r="F265" s="66"/>
    </row>
    <row r="266" spans="2:6" ht="21" customHeight="1">
      <c r="B266" s="70"/>
      <c r="F266" s="66"/>
    </row>
    <row r="267" spans="2:6" ht="21" customHeight="1">
      <c r="B267" s="70"/>
      <c r="F267" s="66"/>
    </row>
    <row r="268" spans="2:6" ht="21" customHeight="1">
      <c r="B268" s="70"/>
      <c r="F268" s="66"/>
    </row>
    <row r="269" spans="2:6" ht="21" customHeight="1">
      <c r="B269" s="70"/>
      <c r="F269" s="66"/>
    </row>
    <row r="270" spans="2:6" ht="21" customHeight="1">
      <c r="B270" s="70"/>
      <c r="F270" s="66"/>
    </row>
    <row r="271" spans="2:6" ht="21" customHeight="1">
      <c r="B271" s="70"/>
      <c r="F271" s="66"/>
    </row>
    <row r="272" spans="2:6" ht="21" customHeight="1">
      <c r="B272" s="70"/>
      <c r="F272" s="66"/>
    </row>
    <row r="273" spans="2:6" ht="21" customHeight="1">
      <c r="B273" s="70"/>
      <c r="F273" s="66"/>
    </row>
    <row r="274" spans="2:6" ht="21" customHeight="1">
      <c r="B274" s="70"/>
      <c r="F274" s="66"/>
    </row>
    <row r="275" spans="2:6" ht="21" customHeight="1">
      <c r="B275" s="70"/>
      <c r="F275" s="66"/>
    </row>
    <row r="276" spans="2:6" ht="21" customHeight="1">
      <c r="B276" s="70"/>
      <c r="F276" s="66"/>
    </row>
    <row r="277" spans="2:6" ht="21" customHeight="1">
      <c r="B277" s="70"/>
      <c r="F277" s="66"/>
    </row>
    <row r="278" spans="2:6" ht="21" customHeight="1">
      <c r="B278" s="70"/>
      <c r="F278" s="66"/>
    </row>
    <row r="279" spans="2:6" ht="21" customHeight="1">
      <c r="B279" s="70"/>
      <c r="F279" s="66"/>
    </row>
    <row r="280" spans="2:6" ht="21" customHeight="1">
      <c r="B280" s="70"/>
      <c r="F280" s="66"/>
    </row>
    <row r="281" spans="2:6" ht="21" customHeight="1">
      <c r="B281" s="70"/>
      <c r="F281" s="66"/>
    </row>
    <row r="282" spans="2:6" ht="21" customHeight="1">
      <c r="B282" s="70"/>
      <c r="F282" s="66"/>
    </row>
    <row r="283" spans="2:6" ht="21" customHeight="1">
      <c r="B283" s="70"/>
      <c r="F283" s="66"/>
    </row>
    <row r="284" spans="2:6" ht="21" customHeight="1">
      <c r="B284" s="70"/>
      <c r="F284" s="66"/>
    </row>
    <row r="285" spans="2:6" ht="21" customHeight="1">
      <c r="B285" s="70"/>
      <c r="F285" s="66"/>
    </row>
    <row r="286" spans="2:6" ht="21" customHeight="1">
      <c r="B286" s="70"/>
      <c r="F286" s="66"/>
    </row>
    <row r="287" spans="2:6" ht="21" customHeight="1">
      <c r="B287" s="70"/>
      <c r="F287" s="66"/>
    </row>
    <row r="288" spans="2:6" ht="21" customHeight="1">
      <c r="B288" s="70"/>
      <c r="F288" s="66"/>
    </row>
    <row r="289" spans="2:6" ht="21" customHeight="1">
      <c r="B289" s="70"/>
      <c r="F289" s="66"/>
    </row>
    <row r="290" spans="2:6" ht="21" customHeight="1">
      <c r="B290" s="70"/>
      <c r="F290" s="66"/>
    </row>
    <row r="291" spans="2:6" ht="21" customHeight="1">
      <c r="B291" s="70"/>
      <c r="F291" s="66"/>
    </row>
    <row r="292" spans="2:6" ht="21" customHeight="1">
      <c r="B292" s="70"/>
      <c r="F292" s="66"/>
    </row>
    <row r="293" spans="2:6" ht="21" customHeight="1">
      <c r="B293" s="70"/>
      <c r="F293" s="66"/>
    </row>
    <row r="294" spans="2:6" ht="21" customHeight="1">
      <c r="B294" s="70"/>
      <c r="F294" s="66"/>
    </row>
    <row r="295" spans="2:6" ht="21" customHeight="1">
      <c r="B295" s="70"/>
      <c r="F295" s="66"/>
    </row>
    <row r="296" spans="2:6" ht="21" customHeight="1">
      <c r="B296" s="70"/>
      <c r="F296" s="66"/>
    </row>
    <row r="297" spans="2:6" ht="21" customHeight="1">
      <c r="B297" s="70"/>
      <c r="F297" s="66"/>
    </row>
    <row r="298" spans="2:6" ht="21" customHeight="1">
      <c r="B298" s="70"/>
      <c r="F298" s="66"/>
    </row>
    <row r="299" spans="2:6" ht="21" customHeight="1">
      <c r="B299" s="70"/>
      <c r="F299" s="66"/>
    </row>
    <row r="300" spans="2:6" ht="21" customHeight="1">
      <c r="B300" s="70"/>
      <c r="F300" s="66"/>
    </row>
    <row r="301" spans="2:6" ht="21" customHeight="1">
      <c r="B301" s="70"/>
      <c r="F301" s="66"/>
    </row>
    <row r="302" spans="2:6" ht="21" customHeight="1">
      <c r="B302" s="70"/>
      <c r="F302" s="66"/>
    </row>
    <row r="303" spans="2:6" ht="21" customHeight="1">
      <c r="B303" s="70"/>
      <c r="F303" s="66"/>
    </row>
    <row r="304" spans="2:6" ht="21" customHeight="1">
      <c r="B304" s="70"/>
      <c r="F304" s="66"/>
    </row>
    <row r="305" spans="2:6" ht="21" customHeight="1">
      <c r="B305" s="70"/>
      <c r="F305" s="66"/>
    </row>
    <row r="306" spans="2:6" ht="21" customHeight="1">
      <c r="B306" s="70"/>
      <c r="F306" s="66"/>
    </row>
    <row r="307" spans="2:6" ht="21" customHeight="1">
      <c r="B307" s="70"/>
      <c r="F307" s="66"/>
    </row>
    <row r="308" spans="2:6" ht="21" customHeight="1">
      <c r="B308" s="70"/>
      <c r="F308" s="66"/>
    </row>
    <row r="309" spans="2:6" ht="21" customHeight="1">
      <c r="B309" s="70"/>
      <c r="F309" s="66"/>
    </row>
    <row r="310" spans="2:6" ht="21" customHeight="1">
      <c r="B310" s="70"/>
      <c r="F310" s="66"/>
    </row>
    <row r="311" spans="2:6" ht="21" customHeight="1">
      <c r="B311" s="70"/>
      <c r="F311" s="66"/>
    </row>
    <row r="312" spans="2:6" ht="21" customHeight="1">
      <c r="B312" s="70"/>
      <c r="F312" s="66"/>
    </row>
    <row r="313" spans="2:6" ht="21" customHeight="1">
      <c r="B313" s="70"/>
      <c r="F313" s="66"/>
    </row>
    <row r="314" spans="2:6" ht="21" customHeight="1">
      <c r="B314" s="70"/>
      <c r="F314" s="66"/>
    </row>
    <row r="315" spans="2:6" ht="21" customHeight="1">
      <c r="B315" s="70"/>
      <c r="F315" s="66"/>
    </row>
    <row r="316" spans="2:6" ht="21" customHeight="1">
      <c r="B316" s="70"/>
      <c r="F316" s="66"/>
    </row>
    <row r="317" spans="2:6" ht="21" customHeight="1">
      <c r="B317" s="70"/>
      <c r="F317" s="66"/>
    </row>
    <row r="318" spans="2:6" ht="21" customHeight="1">
      <c r="B318" s="70"/>
      <c r="F318" s="66"/>
    </row>
    <row r="319" spans="2:6" ht="21" customHeight="1">
      <c r="B319" s="70"/>
      <c r="F319" s="66"/>
    </row>
    <row r="320" spans="2:6" ht="21" customHeight="1">
      <c r="B320" s="70"/>
      <c r="F320" s="66"/>
    </row>
    <row r="321" spans="2:6" ht="21" customHeight="1">
      <c r="B321" s="70"/>
      <c r="F321" s="66"/>
    </row>
    <row r="322" spans="2:6" ht="21" customHeight="1">
      <c r="B322" s="70"/>
      <c r="F322" s="66"/>
    </row>
    <row r="323" spans="2:6" ht="21" customHeight="1">
      <c r="B323" s="70"/>
      <c r="F323" s="66"/>
    </row>
    <row r="324" spans="2:6" ht="21" customHeight="1">
      <c r="B324" s="70"/>
      <c r="F324" s="66"/>
    </row>
    <row r="325" spans="2:6" ht="21" customHeight="1">
      <c r="B325" s="70"/>
      <c r="F325" s="66"/>
    </row>
    <row r="326" spans="2:6" ht="21" customHeight="1">
      <c r="B326" s="70"/>
      <c r="F326" s="66"/>
    </row>
    <row r="327" spans="2:6" ht="21" customHeight="1">
      <c r="B327" s="70"/>
      <c r="F327" s="66"/>
    </row>
    <row r="328" spans="2:6" ht="21" customHeight="1">
      <c r="B328" s="70"/>
      <c r="F328" s="66"/>
    </row>
    <row r="329" spans="2:6" ht="21" customHeight="1">
      <c r="B329" s="70"/>
      <c r="F329" s="66"/>
    </row>
    <row r="330" spans="2:6" ht="21" customHeight="1">
      <c r="B330" s="70"/>
      <c r="F330" s="66"/>
    </row>
    <row r="331" spans="2:6" ht="21" customHeight="1">
      <c r="B331" s="70"/>
      <c r="F331" s="66"/>
    </row>
    <row r="332" spans="2:6" ht="21" customHeight="1">
      <c r="B332" s="70"/>
      <c r="F332" s="66"/>
    </row>
    <row r="333" spans="2:6" ht="21" customHeight="1">
      <c r="B333" s="70"/>
      <c r="F333" s="66"/>
    </row>
    <row r="334" spans="2:6" ht="21" customHeight="1">
      <c r="B334" s="70"/>
      <c r="F334" s="66"/>
    </row>
    <row r="335" spans="2:6" ht="21" customHeight="1">
      <c r="B335" s="70"/>
      <c r="F335" s="66"/>
    </row>
    <row r="336" spans="2:6" ht="21" customHeight="1">
      <c r="B336" s="70"/>
      <c r="F336" s="66"/>
    </row>
    <row r="337" spans="2:6" ht="21" customHeight="1">
      <c r="B337" s="70"/>
      <c r="F337" s="66"/>
    </row>
    <row r="338" spans="2:6" ht="21" customHeight="1">
      <c r="B338" s="70"/>
      <c r="F338" s="66"/>
    </row>
    <row r="339" spans="2:6" ht="21" customHeight="1">
      <c r="B339" s="70"/>
      <c r="F339" s="66"/>
    </row>
    <row r="340" spans="2:6" ht="21" customHeight="1">
      <c r="B340" s="70"/>
      <c r="F340" s="66"/>
    </row>
    <row r="341" spans="2:6" ht="21" customHeight="1">
      <c r="B341" s="70"/>
      <c r="F341" s="66"/>
    </row>
    <row r="342" spans="2:6" ht="21" customHeight="1">
      <c r="B342" s="70"/>
      <c r="F342" s="66"/>
    </row>
    <row r="343" spans="2:6" ht="21" customHeight="1">
      <c r="B343" s="70"/>
      <c r="F343" s="66"/>
    </row>
    <row r="344" spans="2:6" ht="21" customHeight="1">
      <c r="B344" s="70"/>
      <c r="F344" s="66"/>
    </row>
    <row r="345" spans="2:6" ht="21" customHeight="1">
      <c r="B345" s="70"/>
      <c r="F345" s="66"/>
    </row>
    <row r="346" spans="2:6" ht="21" customHeight="1">
      <c r="B346" s="70"/>
      <c r="F346" s="66"/>
    </row>
    <row r="347" spans="2:6" ht="21" customHeight="1">
      <c r="B347" s="70"/>
      <c r="F347" s="66"/>
    </row>
    <row r="348" spans="2:6" ht="21" customHeight="1">
      <c r="B348" s="70"/>
      <c r="F348" s="66"/>
    </row>
    <row r="349" spans="2:6" ht="21" customHeight="1">
      <c r="B349" s="70"/>
      <c r="F349" s="66"/>
    </row>
    <row r="350" spans="2:6" ht="21" customHeight="1">
      <c r="B350" s="70"/>
      <c r="F350" s="66"/>
    </row>
    <row r="351" spans="2:6" ht="21" customHeight="1">
      <c r="B351" s="70"/>
      <c r="F351" s="66"/>
    </row>
    <row r="352" spans="2:6" ht="21" customHeight="1">
      <c r="B352" s="70"/>
      <c r="F352" s="66"/>
    </row>
    <row r="353" spans="2:6" ht="21" customHeight="1">
      <c r="B353" s="70"/>
      <c r="F353" s="66"/>
    </row>
    <row r="354" spans="2:6" ht="21" customHeight="1">
      <c r="B354" s="70"/>
      <c r="F354" s="66"/>
    </row>
    <row r="355" spans="2:6" ht="21" customHeight="1">
      <c r="B355" s="70"/>
      <c r="F355" s="66"/>
    </row>
    <row r="356" spans="2:6" ht="21" customHeight="1">
      <c r="B356" s="70"/>
      <c r="F356" s="66"/>
    </row>
    <row r="357" spans="2:6" ht="21" customHeight="1">
      <c r="B357" s="70"/>
      <c r="F357" s="66"/>
    </row>
    <row r="358" spans="2:6" ht="21" customHeight="1">
      <c r="B358" s="70"/>
      <c r="F358" s="66"/>
    </row>
    <row r="359" spans="2:6" ht="21" customHeight="1">
      <c r="B359" s="70"/>
      <c r="F359" s="66"/>
    </row>
    <row r="360" spans="2:6" ht="21" customHeight="1">
      <c r="B360" s="70"/>
      <c r="F360" s="66"/>
    </row>
    <row r="361" spans="2:6" ht="21" customHeight="1">
      <c r="B361" s="70"/>
      <c r="F361" s="66"/>
    </row>
    <row r="362" spans="2:6" ht="21" customHeight="1">
      <c r="B362" s="70"/>
      <c r="F362" s="66"/>
    </row>
    <row r="363" spans="2:6" ht="21" customHeight="1">
      <c r="B363" s="70"/>
      <c r="F363" s="66"/>
    </row>
    <row r="364" spans="2:6" ht="21" customHeight="1">
      <c r="B364" s="70"/>
      <c r="F364" s="66"/>
    </row>
    <row r="365" spans="2:6" ht="21" customHeight="1">
      <c r="B365" s="70"/>
      <c r="F365" s="66"/>
    </row>
    <row r="366" spans="2:6" ht="21" customHeight="1">
      <c r="B366" s="70"/>
      <c r="F366" s="66"/>
    </row>
    <row r="367" spans="2:6" ht="21" customHeight="1">
      <c r="B367" s="70"/>
      <c r="F367" s="66"/>
    </row>
    <row r="368" spans="2:6" ht="21" customHeight="1">
      <c r="B368" s="70"/>
      <c r="F368" s="66"/>
    </row>
    <row r="369" spans="2:6" ht="21" customHeight="1">
      <c r="B369" s="70"/>
      <c r="F369" s="66"/>
    </row>
    <row r="370" spans="2:6" ht="21" customHeight="1">
      <c r="B370" s="70"/>
      <c r="F370" s="66"/>
    </row>
    <row r="371" spans="2:6" ht="21" customHeight="1">
      <c r="B371" s="70"/>
      <c r="F371" s="66"/>
    </row>
    <row r="372" spans="2:6" ht="21" customHeight="1">
      <c r="B372" s="70"/>
      <c r="F372" s="66"/>
    </row>
    <row r="373" spans="2:6" ht="21" customHeight="1">
      <c r="B373" s="70"/>
      <c r="F373" s="66"/>
    </row>
    <row r="374" spans="2:6" ht="21" customHeight="1">
      <c r="B374" s="70"/>
      <c r="F374" s="66"/>
    </row>
    <row r="375" spans="2:6" ht="21" customHeight="1">
      <c r="B375" s="70"/>
      <c r="F375" s="66"/>
    </row>
    <row r="376" spans="2:6" ht="21" customHeight="1">
      <c r="B376" s="70"/>
      <c r="F376" s="66"/>
    </row>
    <row r="377" spans="2:6" ht="21" customHeight="1">
      <c r="B377" s="70"/>
      <c r="F377" s="66"/>
    </row>
    <row r="378" spans="2:6" ht="21" customHeight="1">
      <c r="B378" s="70"/>
      <c r="F378" s="66"/>
    </row>
    <row r="379" spans="2:6" ht="21" customHeight="1">
      <c r="B379" s="70"/>
      <c r="F379" s="66"/>
    </row>
    <row r="380" spans="2:6" ht="21" customHeight="1">
      <c r="B380" s="70"/>
      <c r="F380" s="66"/>
    </row>
    <row r="381" spans="2:6" ht="21" customHeight="1">
      <c r="B381" s="70"/>
      <c r="F381" s="66"/>
    </row>
    <row r="382" spans="2:6" ht="21" customHeight="1">
      <c r="B382" s="70"/>
      <c r="F382" s="66"/>
    </row>
    <row r="383" spans="2:6" ht="21" customHeight="1">
      <c r="B383" s="70"/>
      <c r="F383" s="66"/>
    </row>
    <row r="384" spans="2:6" ht="21" customHeight="1">
      <c r="B384" s="70"/>
      <c r="F384" s="66"/>
    </row>
    <row r="385" spans="2:6" ht="21" customHeight="1">
      <c r="B385" s="70"/>
      <c r="F385" s="66"/>
    </row>
    <row r="386" spans="2:6" ht="21" customHeight="1">
      <c r="B386" s="70"/>
      <c r="F386" s="66"/>
    </row>
    <row r="387" spans="2:6" ht="21" customHeight="1">
      <c r="B387" s="70"/>
      <c r="F387" s="66"/>
    </row>
    <row r="388" spans="2:6" ht="21" customHeight="1">
      <c r="B388" s="70"/>
      <c r="F388" s="66"/>
    </row>
    <row r="389" spans="2:6" ht="21" customHeight="1">
      <c r="B389" s="70"/>
      <c r="F389" s="66"/>
    </row>
    <row r="390" spans="2:6" ht="21" customHeight="1">
      <c r="B390" s="70"/>
      <c r="F390" s="66"/>
    </row>
    <row r="391" spans="2:6" ht="21" customHeight="1">
      <c r="B391" s="70"/>
      <c r="F391" s="66"/>
    </row>
    <row r="392" spans="2:6" ht="21" customHeight="1">
      <c r="B392" s="70"/>
      <c r="F392" s="66"/>
    </row>
    <row r="393" spans="2:6" ht="21" customHeight="1">
      <c r="B393" s="70"/>
      <c r="F393" s="66"/>
    </row>
    <row r="394" spans="2:6" ht="21" customHeight="1">
      <c r="B394" s="70"/>
      <c r="F394" s="66"/>
    </row>
    <row r="395" spans="2:6" ht="21" customHeight="1">
      <c r="B395" s="70"/>
      <c r="F395" s="66"/>
    </row>
    <row r="396" spans="2:6" ht="21" customHeight="1">
      <c r="B396" s="70"/>
      <c r="F396" s="66"/>
    </row>
    <row r="397" spans="2:6" ht="21" customHeight="1">
      <c r="B397" s="70"/>
      <c r="F397" s="66"/>
    </row>
    <row r="398" spans="2:6" ht="21" customHeight="1">
      <c r="B398" s="70"/>
      <c r="F398" s="66"/>
    </row>
    <row r="399" spans="2:6" ht="21" customHeight="1">
      <c r="B399" s="70"/>
      <c r="F399" s="66"/>
    </row>
    <row r="400" spans="2:6" ht="21" customHeight="1">
      <c r="B400" s="70"/>
      <c r="F400" s="66"/>
    </row>
    <row r="401" spans="2:6" ht="21" customHeight="1">
      <c r="B401" s="70"/>
      <c r="F401" s="66"/>
    </row>
    <row r="402" spans="2:6" ht="21" customHeight="1">
      <c r="B402" s="70"/>
      <c r="F402" s="66"/>
    </row>
    <row r="403" spans="2:6" ht="21" customHeight="1">
      <c r="B403" s="70"/>
      <c r="F403" s="66"/>
    </row>
    <row r="404" spans="2:6" ht="21" customHeight="1">
      <c r="B404" s="70"/>
      <c r="F404" s="66"/>
    </row>
    <row r="405" spans="2:6" ht="21" customHeight="1">
      <c r="B405" s="70"/>
      <c r="F405" s="66"/>
    </row>
    <row r="406" spans="2:6" ht="21" customHeight="1">
      <c r="B406" s="70"/>
      <c r="F406" s="66"/>
    </row>
    <row r="407" spans="2:6" ht="21" customHeight="1">
      <c r="B407" s="70"/>
      <c r="F407" s="66"/>
    </row>
    <row r="408" spans="2:6" ht="21" customHeight="1">
      <c r="B408" s="70"/>
      <c r="F408" s="66"/>
    </row>
    <row r="409" spans="2:6" ht="21" customHeight="1">
      <c r="B409" s="70"/>
      <c r="F409" s="66"/>
    </row>
    <row r="410" spans="2:6" ht="21" customHeight="1">
      <c r="B410" s="70"/>
      <c r="F410" s="66"/>
    </row>
    <row r="411" spans="2:6" ht="21" customHeight="1">
      <c r="B411" s="70"/>
      <c r="F411" s="66"/>
    </row>
    <row r="412" spans="2:6" ht="21" customHeight="1">
      <c r="B412" s="70"/>
      <c r="F412" s="66"/>
    </row>
    <row r="413" spans="2:6" ht="21" customHeight="1">
      <c r="B413" s="70"/>
      <c r="F413" s="66"/>
    </row>
    <row r="414" spans="2:6" ht="21" customHeight="1">
      <c r="B414" s="70"/>
      <c r="F414" s="66"/>
    </row>
    <row r="415" spans="2:6" ht="21" customHeight="1">
      <c r="B415" s="70"/>
      <c r="F415" s="66"/>
    </row>
    <row r="416" spans="2:6" ht="21" customHeight="1">
      <c r="B416" s="70"/>
      <c r="F416" s="66"/>
    </row>
    <row r="417" spans="2:6" ht="21" customHeight="1">
      <c r="B417" s="70"/>
      <c r="F417" s="66"/>
    </row>
    <row r="418" spans="2:6" ht="21" customHeight="1">
      <c r="B418" s="70"/>
      <c r="F418" s="66"/>
    </row>
    <row r="419" spans="2:6" ht="21" customHeight="1">
      <c r="B419" s="70"/>
      <c r="F419" s="66"/>
    </row>
    <row r="420" spans="2:6" ht="21" customHeight="1">
      <c r="B420" s="70"/>
      <c r="F420" s="66"/>
    </row>
    <row r="421" spans="2:6" ht="21" customHeight="1">
      <c r="B421" s="70"/>
      <c r="F421" s="66"/>
    </row>
    <row r="422" spans="2:6" ht="21" customHeight="1">
      <c r="B422" s="70"/>
      <c r="F422" s="66"/>
    </row>
    <row r="423" spans="2:6" ht="21" customHeight="1">
      <c r="B423" s="70"/>
      <c r="F423" s="66"/>
    </row>
    <row r="424" spans="2:6" ht="21" customHeight="1">
      <c r="B424" s="70"/>
      <c r="F424" s="66"/>
    </row>
    <row r="425" spans="2:6" ht="21" customHeight="1">
      <c r="B425" s="70"/>
      <c r="F425" s="66"/>
    </row>
    <row r="426" spans="2:6" ht="21" customHeight="1">
      <c r="B426" s="70"/>
      <c r="F426" s="66"/>
    </row>
    <row r="427" spans="2:6" ht="21" customHeight="1">
      <c r="B427" s="70"/>
      <c r="F427" s="66"/>
    </row>
    <row r="428" spans="2:6" ht="21" customHeight="1">
      <c r="B428" s="70"/>
      <c r="F428" s="66"/>
    </row>
    <row r="429" spans="2:6" ht="21" customHeight="1">
      <c r="B429" s="70"/>
      <c r="F429" s="66"/>
    </row>
    <row r="430" spans="2:6" ht="21" customHeight="1">
      <c r="B430" s="70"/>
      <c r="F430" s="66"/>
    </row>
    <row r="431" spans="2:6" ht="21" customHeight="1">
      <c r="B431" s="70"/>
      <c r="F431" s="66"/>
    </row>
    <row r="432" spans="2:6" ht="21" customHeight="1">
      <c r="B432" s="70"/>
      <c r="F432" s="66"/>
    </row>
    <row r="433" spans="2:6" ht="21" customHeight="1">
      <c r="B433" s="70"/>
      <c r="F433" s="66"/>
    </row>
    <row r="434" spans="2:6" ht="21" customHeight="1">
      <c r="B434" s="70"/>
      <c r="F434" s="66"/>
    </row>
    <row r="435" spans="2:6" ht="21" customHeight="1">
      <c r="B435" s="70"/>
      <c r="F435" s="66"/>
    </row>
    <row r="436" spans="2:6" ht="21" customHeight="1">
      <c r="B436" s="70"/>
      <c r="F436" s="66"/>
    </row>
    <row r="437" spans="2:6" ht="21" customHeight="1">
      <c r="B437" s="70"/>
      <c r="F437" s="66"/>
    </row>
    <row r="438" spans="2:6" ht="21" customHeight="1">
      <c r="B438" s="70"/>
      <c r="F438" s="66"/>
    </row>
    <row r="439" spans="2:6" ht="21" customHeight="1">
      <c r="B439" s="70"/>
      <c r="F439" s="66"/>
    </row>
    <row r="440" spans="2:6" ht="21" customHeight="1">
      <c r="B440" s="70"/>
      <c r="F440" s="66"/>
    </row>
    <row r="441" spans="2:6" ht="21" customHeight="1">
      <c r="B441" s="70"/>
      <c r="F441" s="66"/>
    </row>
    <row r="442" spans="2:6" ht="21" customHeight="1">
      <c r="B442" s="70"/>
      <c r="F442" s="66"/>
    </row>
    <row r="443" spans="2:6" ht="21" customHeight="1">
      <c r="B443" s="70"/>
      <c r="F443" s="66"/>
    </row>
    <row r="444" spans="2:6" ht="21" customHeight="1">
      <c r="B444" s="70"/>
      <c r="F444" s="66"/>
    </row>
    <row r="445" spans="2:6" ht="21" customHeight="1">
      <c r="B445" s="70"/>
      <c r="F445" s="66"/>
    </row>
    <row r="446" spans="2:6" ht="21" customHeight="1">
      <c r="B446" s="70"/>
      <c r="F446" s="66"/>
    </row>
    <row r="447" spans="2:6" ht="21" customHeight="1">
      <c r="B447" s="70"/>
      <c r="F447" s="66"/>
    </row>
    <row r="448" spans="2:6" ht="21" customHeight="1">
      <c r="B448" s="70"/>
      <c r="F448" s="66"/>
    </row>
    <row r="449" spans="2:6" ht="21" customHeight="1">
      <c r="B449" s="70"/>
      <c r="F449" s="66"/>
    </row>
    <row r="450" spans="2:6" ht="21" customHeight="1">
      <c r="B450" s="70"/>
      <c r="F450" s="66"/>
    </row>
    <row r="451" spans="2:6" ht="21" customHeight="1">
      <c r="B451" s="70"/>
      <c r="F451" s="66"/>
    </row>
    <row r="452" spans="2:6" ht="21" customHeight="1">
      <c r="B452" s="70"/>
      <c r="F452" s="66"/>
    </row>
    <row r="453" spans="2:6" ht="21" customHeight="1">
      <c r="B453" s="70"/>
      <c r="F453" s="66"/>
    </row>
    <row r="454" spans="2:6" ht="21" customHeight="1">
      <c r="B454" s="70"/>
      <c r="F454" s="66"/>
    </row>
    <row r="455" spans="2:6" ht="21" customHeight="1">
      <c r="B455" s="70"/>
      <c r="F455" s="66"/>
    </row>
    <row r="456" spans="2:6" ht="21" customHeight="1">
      <c r="B456" s="70"/>
      <c r="F456" s="66"/>
    </row>
    <row r="457" spans="2:6" ht="21" customHeight="1">
      <c r="B457" s="70"/>
      <c r="F457" s="66"/>
    </row>
    <row r="458" spans="2:6" ht="21" customHeight="1">
      <c r="B458" s="70"/>
      <c r="F458" s="66"/>
    </row>
    <row r="459" spans="2:6" ht="21" customHeight="1">
      <c r="B459" s="70"/>
      <c r="F459" s="66"/>
    </row>
    <row r="460" spans="2:6" ht="21" customHeight="1">
      <c r="B460" s="70"/>
      <c r="F460" s="66"/>
    </row>
    <row r="461" spans="2:6" ht="21" customHeight="1">
      <c r="B461" s="70"/>
      <c r="F461" s="66"/>
    </row>
    <row r="462" spans="2:6" ht="21" customHeight="1">
      <c r="B462" s="70"/>
      <c r="F462" s="66"/>
    </row>
    <row r="463" spans="2:6" ht="21" customHeight="1">
      <c r="B463" s="70"/>
      <c r="F463" s="66"/>
    </row>
    <row r="464" spans="2:6" ht="21" customHeight="1">
      <c r="B464" s="70"/>
      <c r="F464" s="66"/>
    </row>
    <row r="465" spans="2:6" ht="21" customHeight="1">
      <c r="B465" s="70"/>
      <c r="F465" s="66"/>
    </row>
    <row r="466" spans="2:6" ht="21" customHeight="1">
      <c r="B466" s="70"/>
      <c r="F466" s="66"/>
    </row>
    <row r="467" spans="2:6" ht="21" customHeight="1">
      <c r="B467" s="70"/>
      <c r="F467" s="66"/>
    </row>
    <row r="468" spans="2:6" ht="21" customHeight="1">
      <c r="B468" s="70"/>
      <c r="F468" s="66"/>
    </row>
    <row r="469" spans="2:6" ht="21" customHeight="1">
      <c r="B469" s="70"/>
      <c r="F469" s="66"/>
    </row>
    <row r="470" spans="2:6" ht="21" customHeight="1">
      <c r="B470" s="70"/>
      <c r="F470" s="66"/>
    </row>
    <row r="471" spans="2:6" ht="21" customHeight="1">
      <c r="B471" s="70"/>
      <c r="F471" s="66"/>
    </row>
    <row r="472" spans="2:6" ht="21" customHeight="1">
      <c r="B472" s="70"/>
      <c r="F472" s="66"/>
    </row>
    <row r="473" spans="2:6" ht="21" customHeight="1">
      <c r="B473" s="70"/>
      <c r="F473" s="66"/>
    </row>
    <row r="474" spans="2:6" ht="21" customHeight="1">
      <c r="B474" s="70"/>
      <c r="F474" s="66"/>
    </row>
    <row r="475" spans="2:6" ht="21" customHeight="1">
      <c r="B475" s="70"/>
      <c r="F475" s="66"/>
    </row>
    <row r="476" spans="2:6" ht="21" customHeight="1">
      <c r="B476" s="70"/>
      <c r="F476" s="66"/>
    </row>
    <row r="477" spans="2:6" ht="21" customHeight="1">
      <c r="B477" s="70"/>
      <c r="F477" s="66"/>
    </row>
    <row r="478" spans="2:6" ht="21" customHeight="1">
      <c r="B478" s="70"/>
      <c r="F478" s="66"/>
    </row>
    <row r="479" spans="2:6" ht="21" customHeight="1">
      <c r="B479" s="70"/>
      <c r="F479" s="66"/>
    </row>
    <row r="480" spans="2:6" ht="21" customHeight="1">
      <c r="B480" s="70"/>
      <c r="F480" s="66"/>
    </row>
    <row r="481" spans="2:6" ht="21" customHeight="1">
      <c r="B481" s="70"/>
      <c r="F481" s="66"/>
    </row>
    <row r="482" spans="2:6" ht="21" customHeight="1">
      <c r="B482" s="70"/>
      <c r="F482" s="66"/>
    </row>
    <row r="483" spans="2:6" ht="21" customHeight="1">
      <c r="B483" s="70"/>
      <c r="F483" s="66"/>
    </row>
    <row r="484" spans="2:6" ht="21" customHeight="1">
      <c r="B484" s="70"/>
      <c r="F484" s="66"/>
    </row>
    <row r="485" spans="2:6" ht="21" customHeight="1">
      <c r="B485" s="70"/>
      <c r="F485" s="66"/>
    </row>
    <row r="486" spans="2:6" ht="21" customHeight="1">
      <c r="B486" s="70"/>
      <c r="F486" s="66"/>
    </row>
    <row r="487" spans="2:6" ht="21" customHeight="1">
      <c r="B487" s="70"/>
      <c r="F487" s="66"/>
    </row>
    <row r="488" spans="2:6" ht="21" customHeight="1">
      <c r="B488" s="70"/>
      <c r="F488" s="66"/>
    </row>
    <row r="489" spans="2:6" ht="21" customHeight="1">
      <c r="B489" s="70"/>
      <c r="F489" s="66"/>
    </row>
    <row r="490" spans="2:6" ht="21" customHeight="1">
      <c r="B490" s="70"/>
      <c r="F490" s="66"/>
    </row>
    <row r="491" spans="2:6" ht="21" customHeight="1">
      <c r="B491" s="70"/>
      <c r="F491" s="66"/>
    </row>
    <row r="492" spans="2:6" ht="21" customHeight="1">
      <c r="B492" s="70"/>
      <c r="F492" s="66"/>
    </row>
    <row r="493" spans="2:6" ht="21" customHeight="1">
      <c r="B493" s="70"/>
      <c r="F493" s="66"/>
    </row>
    <row r="494" spans="2:6" ht="21" customHeight="1">
      <c r="B494" s="70"/>
      <c r="F494" s="66"/>
    </row>
    <row r="495" spans="2:6" ht="21" customHeight="1">
      <c r="B495" s="70"/>
      <c r="F495" s="66"/>
    </row>
    <row r="496" spans="2:6" ht="21" customHeight="1">
      <c r="B496" s="70"/>
      <c r="F496" s="66"/>
    </row>
    <row r="497" spans="2:6" ht="21" customHeight="1">
      <c r="B497" s="70"/>
      <c r="F497" s="66"/>
    </row>
    <row r="498" spans="2:6" ht="21" customHeight="1">
      <c r="B498" s="70"/>
      <c r="F498" s="66"/>
    </row>
    <row r="499" spans="2:6" ht="21" customHeight="1">
      <c r="B499" s="70"/>
      <c r="F499" s="66"/>
    </row>
    <row r="500" spans="2:6" ht="21" customHeight="1">
      <c r="B500" s="70"/>
      <c r="F500" s="66"/>
    </row>
    <row r="501" spans="2:6" ht="21" customHeight="1">
      <c r="B501" s="70"/>
      <c r="F501" s="66"/>
    </row>
    <row r="502" spans="2:6" ht="21" customHeight="1">
      <c r="B502" s="70"/>
      <c r="F502" s="66"/>
    </row>
    <row r="503" spans="2:6" ht="21" customHeight="1">
      <c r="B503" s="70"/>
      <c r="F503" s="66"/>
    </row>
    <row r="504" spans="2:6" ht="21" customHeight="1">
      <c r="B504" s="70"/>
      <c r="F504" s="66"/>
    </row>
    <row r="505" spans="2:6" ht="21" customHeight="1">
      <c r="B505" s="70"/>
      <c r="F505" s="66"/>
    </row>
    <row r="506" spans="2:6" ht="21" customHeight="1">
      <c r="B506" s="70"/>
      <c r="F506" s="66"/>
    </row>
    <row r="507" spans="2:6" ht="21" customHeight="1">
      <c r="B507" s="70"/>
      <c r="F507" s="66"/>
    </row>
    <row r="508" spans="2:6" ht="21" customHeight="1">
      <c r="B508" s="70"/>
      <c r="F508" s="66"/>
    </row>
    <row r="509" spans="2:6" ht="21" customHeight="1">
      <c r="B509" s="70"/>
      <c r="F509" s="66"/>
    </row>
    <row r="510" spans="2:6" ht="21" customHeight="1">
      <c r="B510" s="70"/>
      <c r="F510" s="66"/>
    </row>
    <row r="511" spans="2:6" ht="21" customHeight="1">
      <c r="B511" s="70"/>
      <c r="F511" s="66"/>
    </row>
    <row r="512" spans="2:6" ht="21" customHeight="1">
      <c r="B512" s="70"/>
      <c r="F512" s="66"/>
    </row>
    <row r="513" spans="2:6" ht="21" customHeight="1">
      <c r="B513" s="70"/>
      <c r="F513" s="66"/>
    </row>
    <row r="514" spans="2:6" ht="21" customHeight="1">
      <c r="B514" s="70"/>
      <c r="F514" s="66"/>
    </row>
    <row r="515" spans="2:6" ht="21" customHeight="1">
      <c r="B515" s="70"/>
      <c r="F515" s="66"/>
    </row>
    <row r="516" spans="2:6" ht="21" customHeight="1">
      <c r="B516" s="70"/>
      <c r="F516" s="66"/>
    </row>
    <row r="517" spans="2:6" ht="21" customHeight="1">
      <c r="B517" s="70"/>
      <c r="F517" s="66"/>
    </row>
    <row r="518" spans="2:6" ht="21" customHeight="1">
      <c r="B518" s="70"/>
      <c r="F518" s="66"/>
    </row>
    <row r="519" spans="2:6" ht="21" customHeight="1">
      <c r="B519" s="70"/>
      <c r="F519" s="66"/>
    </row>
    <row r="520" spans="2:6" ht="21" customHeight="1">
      <c r="B520" s="70"/>
      <c r="F520" s="66"/>
    </row>
    <row r="521" spans="2:6" ht="21" customHeight="1">
      <c r="B521" s="70"/>
      <c r="F521" s="66"/>
    </row>
    <row r="522" spans="2:6" ht="21" customHeight="1">
      <c r="B522" s="70"/>
      <c r="F522" s="66"/>
    </row>
    <row r="523" spans="2:6" ht="21" customHeight="1">
      <c r="B523" s="70"/>
      <c r="F523" s="66"/>
    </row>
    <row r="524" spans="2:6" ht="21" customHeight="1">
      <c r="B524" s="70"/>
      <c r="F524" s="66"/>
    </row>
    <row r="525" spans="2:6" ht="21" customHeight="1">
      <c r="B525" s="70"/>
      <c r="F525" s="66"/>
    </row>
    <row r="526" spans="2:6" ht="21" customHeight="1">
      <c r="B526" s="70"/>
      <c r="F526" s="66"/>
    </row>
    <row r="527" spans="2:6" ht="21" customHeight="1">
      <c r="B527" s="70"/>
      <c r="F527" s="66"/>
    </row>
    <row r="528" spans="2:6" ht="21" customHeight="1">
      <c r="B528" s="70"/>
      <c r="F528" s="66"/>
    </row>
    <row r="529" spans="2:6" ht="21" customHeight="1">
      <c r="B529" s="70"/>
      <c r="F529" s="66"/>
    </row>
    <row r="530" spans="2:6" ht="21" customHeight="1">
      <c r="B530" s="70"/>
      <c r="F530" s="66"/>
    </row>
    <row r="531" spans="2:6" ht="21" customHeight="1">
      <c r="B531" s="70"/>
      <c r="F531" s="66"/>
    </row>
    <row r="532" spans="2:6" ht="21" customHeight="1">
      <c r="B532" s="70"/>
      <c r="F532" s="66"/>
    </row>
    <row r="533" spans="2:6" ht="21" customHeight="1">
      <c r="B533" s="70"/>
      <c r="F533" s="66"/>
    </row>
    <row r="534" spans="2:6" ht="21" customHeight="1">
      <c r="B534" s="70"/>
      <c r="F534" s="66"/>
    </row>
    <row r="535" spans="2:6" ht="21" customHeight="1">
      <c r="B535" s="70"/>
      <c r="F535" s="66"/>
    </row>
    <row r="536" spans="2:6" ht="21" customHeight="1">
      <c r="B536" s="70"/>
      <c r="F536" s="66"/>
    </row>
    <row r="537" spans="2:6" ht="21" customHeight="1">
      <c r="B537" s="70"/>
      <c r="F537" s="66"/>
    </row>
    <row r="538" spans="2:6" ht="21" customHeight="1">
      <c r="B538" s="70"/>
      <c r="F538" s="66"/>
    </row>
    <row r="539" spans="2:6" ht="21" customHeight="1">
      <c r="B539" s="70"/>
      <c r="F539" s="66"/>
    </row>
    <row r="540" spans="2:6" ht="21" customHeight="1">
      <c r="B540" s="70"/>
      <c r="F540" s="66"/>
    </row>
    <row r="541" spans="2:6" ht="21" customHeight="1">
      <c r="B541" s="70"/>
      <c r="F541" s="66"/>
    </row>
    <row r="542" spans="2:6" ht="21" customHeight="1">
      <c r="B542" s="70"/>
      <c r="F542" s="66"/>
    </row>
    <row r="543" spans="2:6" ht="21" customHeight="1">
      <c r="B543" s="70"/>
      <c r="F543" s="66"/>
    </row>
    <row r="544" spans="2:6" ht="21" customHeight="1">
      <c r="B544" s="70"/>
      <c r="F544" s="66"/>
    </row>
    <row r="545" spans="2:6" ht="21" customHeight="1">
      <c r="B545" s="70"/>
      <c r="F545" s="66"/>
    </row>
    <row r="546" spans="2:6" ht="21" customHeight="1">
      <c r="B546" s="70"/>
      <c r="F546" s="66"/>
    </row>
    <row r="547" spans="2:6" ht="21" customHeight="1">
      <c r="B547" s="70"/>
      <c r="F547" s="66"/>
    </row>
    <row r="548" spans="2:6" ht="21" customHeight="1">
      <c r="B548" s="70"/>
      <c r="F548" s="66"/>
    </row>
    <row r="549" spans="2:6" ht="21" customHeight="1">
      <c r="B549" s="70"/>
      <c r="F549" s="66"/>
    </row>
    <row r="550" spans="2:6" ht="21" customHeight="1">
      <c r="B550" s="70"/>
      <c r="F550" s="66"/>
    </row>
    <row r="551" spans="2:6" ht="21" customHeight="1">
      <c r="B551" s="70"/>
      <c r="F551" s="66"/>
    </row>
    <row r="552" spans="2:6" ht="21" customHeight="1">
      <c r="B552" s="70"/>
      <c r="F552" s="66"/>
    </row>
    <row r="553" spans="2:6" ht="21" customHeight="1">
      <c r="B553" s="70"/>
      <c r="F553" s="66"/>
    </row>
    <row r="554" spans="2:6" ht="21" customHeight="1">
      <c r="B554" s="70"/>
      <c r="F554" s="66"/>
    </row>
    <row r="555" spans="2:6" ht="21" customHeight="1">
      <c r="B555" s="70"/>
      <c r="F555" s="66"/>
    </row>
    <row r="556" spans="2:6" ht="21" customHeight="1">
      <c r="B556" s="70"/>
      <c r="F556" s="66"/>
    </row>
    <row r="557" spans="2:6" ht="21" customHeight="1">
      <c r="B557" s="70"/>
      <c r="F557" s="66"/>
    </row>
    <row r="558" spans="2:6" ht="21" customHeight="1">
      <c r="B558" s="70"/>
      <c r="F558" s="66"/>
    </row>
    <row r="559" spans="2:6" ht="21" customHeight="1">
      <c r="B559" s="70"/>
      <c r="F559" s="66"/>
    </row>
    <row r="560" spans="2:6" ht="21" customHeight="1">
      <c r="B560" s="70"/>
      <c r="F560" s="66"/>
    </row>
    <row r="561" spans="2:6" ht="21" customHeight="1">
      <c r="B561" s="70"/>
      <c r="F561" s="66"/>
    </row>
    <row r="562" spans="2:6" ht="21" customHeight="1">
      <c r="B562" s="70"/>
      <c r="F562" s="66"/>
    </row>
    <row r="563" spans="2:6" ht="21" customHeight="1">
      <c r="B563" s="70"/>
      <c r="F563" s="66"/>
    </row>
    <row r="564" spans="2:6" ht="21" customHeight="1">
      <c r="B564" s="70"/>
      <c r="F564" s="66"/>
    </row>
    <row r="565" spans="2:6" ht="21" customHeight="1">
      <c r="B565" s="70"/>
      <c r="F565" s="66"/>
    </row>
    <row r="566" spans="2:6" ht="21" customHeight="1">
      <c r="B566" s="70"/>
      <c r="F566" s="66"/>
    </row>
    <row r="567" spans="2:6" ht="21" customHeight="1">
      <c r="B567" s="70"/>
      <c r="F567" s="66"/>
    </row>
    <row r="568" spans="2:6" ht="21" customHeight="1">
      <c r="B568" s="70"/>
      <c r="F568" s="66"/>
    </row>
    <row r="569" spans="2:6" ht="21" customHeight="1">
      <c r="B569" s="70"/>
      <c r="F569" s="66"/>
    </row>
    <row r="570" spans="2:6" ht="21" customHeight="1">
      <c r="B570" s="70"/>
      <c r="F570" s="66"/>
    </row>
    <row r="571" spans="2:6" ht="21" customHeight="1">
      <c r="B571" s="70"/>
      <c r="F571" s="66"/>
    </row>
    <row r="572" spans="2:6" ht="21" customHeight="1">
      <c r="B572" s="70"/>
      <c r="F572" s="66"/>
    </row>
    <row r="573" spans="2:6" ht="21" customHeight="1">
      <c r="B573" s="70"/>
      <c r="F573" s="66"/>
    </row>
    <row r="574" spans="2:6" ht="21" customHeight="1">
      <c r="B574" s="70"/>
      <c r="F574" s="66"/>
    </row>
    <row r="575" spans="2:6" ht="21" customHeight="1">
      <c r="B575" s="70"/>
      <c r="F575" s="66"/>
    </row>
    <row r="576" spans="2:6" ht="21" customHeight="1">
      <c r="B576" s="70"/>
      <c r="F576" s="66"/>
    </row>
    <row r="577" spans="2:6" ht="21" customHeight="1">
      <c r="B577" s="70"/>
      <c r="F577" s="66"/>
    </row>
    <row r="578" spans="2:6" ht="21" customHeight="1">
      <c r="B578" s="70"/>
      <c r="F578" s="66"/>
    </row>
    <row r="579" spans="2:6" ht="21" customHeight="1">
      <c r="B579" s="70"/>
      <c r="F579" s="66"/>
    </row>
    <row r="580" spans="2:6" ht="21" customHeight="1">
      <c r="B580" s="70"/>
      <c r="F580" s="66"/>
    </row>
    <row r="581" spans="2:6" ht="21" customHeight="1">
      <c r="B581" s="70"/>
      <c r="F581" s="66"/>
    </row>
    <row r="582" spans="2:6" ht="21" customHeight="1">
      <c r="B582" s="70"/>
      <c r="F582" s="66"/>
    </row>
    <row r="583" spans="2:6" ht="21" customHeight="1">
      <c r="B583" s="70"/>
      <c r="F583" s="66"/>
    </row>
    <row r="584" spans="2:6" ht="21" customHeight="1">
      <c r="B584" s="70"/>
      <c r="F584" s="66"/>
    </row>
    <row r="585" spans="2:6" ht="21" customHeight="1">
      <c r="B585" s="70"/>
      <c r="F585" s="66"/>
    </row>
    <row r="586" spans="2:6" ht="21" customHeight="1">
      <c r="B586" s="70"/>
      <c r="F586" s="66"/>
    </row>
    <row r="587" spans="2:6" ht="21" customHeight="1">
      <c r="B587" s="70"/>
      <c r="F587" s="66"/>
    </row>
    <row r="588" spans="2:6" ht="21" customHeight="1">
      <c r="B588" s="70"/>
      <c r="F588" s="66"/>
    </row>
    <row r="589" spans="2:6" ht="21" customHeight="1">
      <c r="B589" s="70"/>
      <c r="F589" s="66"/>
    </row>
    <row r="590" spans="2:6" ht="21" customHeight="1">
      <c r="B590" s="70"/>
      <c r="F590" s="66"/>
    </row>
    <row r="591" spans="2:6" ht="21" customHeight="1">
      <c r="B591" s="70"/>
      <c r="F591" s="66"/>
    </row>
    <row r="592" spans="2:6" ht="21" customHeight="1">
      <c r="B592" s="70"/>
      <c r="F592" s="66"/>
    </row>
    <row r="593" spans="2:6" ht="21" customHeight="1">
      <c r="B593" s="70"/>
      <c r="F593" s="66"/>
    </row>
    <row r="594" spans="2:6" ht="21" customHeight="1">
      <c r="B594" s="70"/>
      <c r="F594" s="66"/>
    </row>
    <row r="595" spans="2:6" ht="21" customHeight="1">
      <c r="B595" s="70"/>
      <c r="F595" s="66"/>
    </row>
    <row r="596" spans="2:6" ht="21" customHeight="1">
      <c r="B596" s="70"/>
      <c r="F596" s="66"/>
    </row>
    <row r="597" spans="2:6" ht="21" customHeight="1">
      <c r="B597" s="70"/>
      <c r="F597" s="66"/>
    </row>
    <row r="598" spans="2:6" ht="21" customHeight="1">
      <c r="B598" s="70"/>
      <c r="F598" s="66"/>
    </row>
    <row r="599" spans="2:6" ht="21" customHeight="1">
      <c r="B599" s="70"/>
      <c r="F599" s="66"/>
    </row>
    <row r="600" spans="2:6" ht="21" customHeight="1">
      <c r="B600" s="70"/>
      <c r="F600" s="66"/>
    </row>
    <row r="601" spans="2:6" ht="21" customHeight="1">
      <c r="B601" s="70"/>
      <c r="F601" s="66"/>
    </row>
    <row r="602" spans="2:6" ht="21" customHeight="1">
      <c r="B602" s="70"/>
      <c r="F602" s="66"/>
    </row>
    <row r="603" spans="2:6" ht="21" customHeight="1">
      <c r="B603" s="70"/>
      <c r="F603" s="66"/>
    </row>
    <row r="604" spans="2:6" ht="21" customHeight="1">
      <c r="B604" s="70"/>
      <c r="F604" s="66"/>
    </row>
    <row r="605" spans="2:6" ht="21" customHeight="1">
      <c r="B605" s="70"/>
      <c r="F605" s="66"/>
    </row>
    <row r="606" spans="2:6" ht="21" customHeight="1">
      <c r="B606" s="70"/>
      <c r="F606" s="66"/>
    </row>
    <row r="607" spans="2:6" ht="21" customHeight="1">
      <c r="B607" s="70"/>
      <c r="F607" s="66"/>
    </row>
    <row r="608" spans="2:6" ht="21" customHeight="1">
      <c r="B608" s="70"/>
      <c r="F608" s="66"/>
    </row>
    <row r="609" spans="2:6" ht="21" customHeight="1">
      <c r="B609" s="70"/>
      <c r="F609" s="66"/>
    </row>
    <row r="610" spans="2:6" ht="21" customHeight="1">
      <c r="B610" s="70"/>
      <c r="F610" s="66"/>
    </row>
    <row r="611" spans="2:6" ht="21" customHeight="1">
      <c r="B611" s="70"/>
      <c r="F611" s="66"/>
    </row>
    <row r="612" spans="2:6" ht="21" customHeight="1">
      <c r="B612" s="70"/>
      <c r="F612" s="66"/>
    </row>
    <row r="613" spans="2:6" ht="21" customHeight="1">
      <c r="B613" s="70"/>
      <c r="F613" s="66"/>
    </row>
    <row r="614" spans="2:6" ht="21" customHeight="1">
      <c r="B614" s="70"/>
      <c r="F614" s="66"/>
    </row>
    <row r="615" spans="2:6" ht="21" customHeight="1">
      <c r="B615" s="70"/>
      <c r="F615" s="66"/>
    </row>
    <row r="616" spans="2:6" ht="21" customHeight="1">
      <c r="B616" s="70"/>
      <c r="F616" s="66"/>
    </row>
    <row r="617" spans="2:6" ht="21" customHeight="1">
      <c r="B617" s="70"/>
      <c r="F617" s="66"/>
    </row>
    <row r="618" spans="2:6" ht="21" customHeight="1">
      <c r="B618" s="70"/>
      <c r="F618" s="66"/>
    </row>
    <row r="619" spans="2:6" ht="21" customHeight="1">
      <c r="B619" s="70"/>
      <c r="F619" s="66"/>
    </row>
    <row r="620" spans="2:6" ht="21" customHeight="1">
      <c r="B620" s="70"/>
      <c r="F620" s="66"/>
    </row>
    <row r="621" spans="2:6" ht="21" customHeight="1">
      <c r="B621" s="70"/>
      <c r="F621" s="66"/>
    </row>
    <row r="622" spans="2:6" ht="21" customHeight="1">
      <c r="B622" s="70"/>
      <c r="F622" s="66"/>
    </row>
    <row r="623" spans="2:6" ht="21" customHeight="1">
      <c r="B623" s="70"/>
      <c r="F623" s="66"/>
    </row>
    <row r="624" spans="2:6" ht="21" customHeight="1">
      <c r="B624" s="70"/>
      <c r="F624" s="66"/>
    </row>
    <row r="625" spans="2:6" ht="21" customHeight="1">
      <c r="B625" s="70"/>
      <c r="F625" s="66"/>
    </row>
    <row r="626" spans="2:6" ht="21" customHeight="1">
      <c r="B626" s="70"/>
      <c r="F626" s="66"/>
    </row>
    <row r="627" spans="2:6" ht="21" customHeight="1">
      <c r="B627" s="70"/>
      <c r="F627" s="66"/>
    </row>
    <row r="628" spans="2:6" ht="21" customHeight="1">
      <c r="B628" s="70"/>
      <c r="F628" s="66"/>
    </row>
    <row r="629" spans="2:6" ht="21" customHeight="1">
      <c r="B629" s="70"/>
      <c r="F629" s="66"/>
    </row>
    <row r="630" spans="2:6" ht="21" customHeight="1">
      <c r="B630" s="70"/>
      <c r="F630" s="66"/>
    </row>
    <row r="631" spans="2:6" ht="21" customHeight="1">
      <c r="B631" s="70"/>
      <c r="F631" s="66"/>
    </row>
    <row r="632" spans="2:6" ht="21" customHeight="1">
      <c r="B632" s="70"/>
      <c r="F632" s="66"/>
    </row>
    <row r="633" spans="2:6" ht="21" customHeight="1">
      <c r="B633" s="70"/>
      <c r="F633" s="66"/>
    </row>
    <row r="634" spans="2:6" ht="21" customHeight="1">
      <c r="B634" s="70"/>
      <c r="F634" s="66"/>
    </row>
    <row r="635" spans="2:6" ht="21" customHeight="1">
      <c r="B635" s="70"/>
      <c r="F635" s="66"/>
    </row>
    <row r="636" spans="2:6" ht="21" customHeight="1">
      <c r="B636" s="70"/>
      <c r="F636" s="66"/>
    </row>
    <row r="637" spans="2:6" ht="21" customHeight="1">
      <c r="B637" s="70"/>
      <c r="F637" s="66"/>
    </row>
    <row r="638" spans="2:6" ht="21" customHeight="1">
      <c r="B638" s="70"/>
      <c r="F638" s="66"/>
    </row>
    <row r="639" spans="2:6" ht="21" customHeight="1">
      <c r="B639" s="70"/>
      <c r="F639" s="66"/>
    </row>
    <row r="640" spans="2:6" ht="21" customHeight="1">
      <c r="B640" s="70"/>
      <c r="F640" s="66"/>
    </row>
    <row r="641" spans="2:6" ht="21" customHeight="1">
      <c r="B641" s="70"/>
      <c r="F641" s="66"/>
    </row>
    <row r="642" spans="2:6" ht="21" customHeight="1">
      <c r="B642" s="70"/>
      <c r="F642" s="66"/>
    </row>
    <row r="643" spans="2:6" ht="21" customHeight="1">
      <c r="B643" s="70"/>
      <c r="F643" s="66"/>
    </row>
    <row r="644" spans="2:6" ht="21" customHeight="1">
      <c r="B644" s="70"/>
      <c r="F644" s="66"/>
    </row>
    <row r="645" spans="2:6" ht="21" customHeight="1">
      <c r="B645" s="70"/>
      <c r="F645" s="66"/>
    </row>
    <row r="646" spans="2:6" ht="21" customHeight="1">
      <c r="B646" s="70"/>
      <c r="F646" s="66"/>
    </row>
    <row r="647" spans="2:6" ht="21" customHeight="1">
      <c r="B647" s="70"/>
      <c r="F647" s="66"/>
    </row>
    <row r="648" spans="2:6" ht="21" customHeight="1">
      <c r="B648" s="70"/>
      <c r="F648" s="66"/>
    </row>
    <row r="649" spans="2:6" ht="21" customHeight="1">
      <c r="B649" s="70"/>
      <c r="F649" s="66"/>
    </row>
    <row r="650" spans="2:6" ht="21" customHeight="1">
      <c r="B650" s="70"/>
      <c r="F650" s="66"/>
    </row>
    <row r="651" spans="2:6" ht="21" customHeight="1">
      <c r="B651" s="70"/>
      <c r="F651" s="66"/>
    </row>
    <row r="652" spans="2:6" ht="21" customHeight="1">
      <c r="B652" s="70"/>
      <c r="F652" s="66"/>
    </row>
    <row r="653" spans="2:6" ht="21" customHeight="1">
      <c r="B653" s="70"/>
      <c r="F653" s="66"/>
    </row>
    <row r="654" spans="2:6" ht="21" customHeight="1">
      <c r="B654" s="70"/>
      <c r="F654" s="66"/>
    </row>
    <row r="655" spans="2:6" ht="21" customHeight="1">
      <c r="B655" s="70"/>
      <c r="F655" s="66"/>
    </row>
    <row r="656" spans="2:6" ht="21" customHeight="1">
      <c r="B656" s="70"/>
      <c r="F656" s="66"/>
    </row>
    <row r="657" spans="2:6" ht="21" customHeight="1">
      <c r="B657" s="70"/>
      <c r="F657" s="66"/>
    </row>
    <row r="658" spans="2:6" ht="21" customHeight="1">
      <c r="B658" s="70"/>
      <c r="F658" s="66"/>
    </row>
    <row r="659" spans="2:6" ht="21" customHeight="1">
      <c r="B659" s="70"/>
      <c r="F659" s="66"/>
    </row>
    <row r="660" spans="2:6" ht="21" customHeight="1">
      <c r="B660" s="70"/>
      <c r="F660" s="66"/>
    </row>
    <row r="661" spans="2:6" ht="21" customHeight="1">
      <c r="B661" s="70"/>
      <c r="F661" s="66"/>
    </row>
    <row r="662" spans="2:6" ht="21" customHeight="1">
      <c r="B662" s="70"/>
      <c r="F662" s="66"/>
    </row>
    <row r="663" spans="2:6" ht="21" customHeight="1">
      <c r="B663" s="70"/>
      <c r="F663" s="66"/>
    </row>
    <row r="664" spans="2:6" ht="21" customHeight="1">
      <c r="B664" s="70"/>
      <c r="F664" s="66"/>
    </row>
    <row r="665" spans="2:6" ht="21" customHeight="1">
      <c r="B665" s="70"/>
      <c r="F665" s="66"/>
    </row>
    <row r="666" spans="2:6" ht="21" customHeight="1">
      <c r="B666" s="70"/>
      <c r="F666" s="66"/>
    </row>
    <row r="667" spans="2:6" ht="21" customHeight="1">
      <c r="B667" s="70"/>
      <c r="F667" s="66"/>
    </row>
    <row r="668" spans="2:6" ht="21" customHeight="1">
      <c r="B668" s="70"/>
      <c r="F668" s="66"/>
    </row>
    <row r="669" spans="2:6" ht="21" customHeight="1">
      <c r="B669" s="70"/>
      <c r="F669" s="66"/>
    </row>
    <row r="670" spans="2:6" ht="21" customHeight="1">
      <c r="B670" s="70"/>
      <c r="F670" s="66"/>
    </row>
    <row r="671" spans="2:6" ht="21" customHeight="1">
      <c r="B671" s="70"/>
      <c r="F671" s="66"/>
    </row>
    <row r="672" spans="2:6" ht="21" customHeight="1">
      <c r="B672" s="70"/>
      <c r="F672" s="66"/>
    </row>
    <row r="673" spans="2:6" ht="21" customHeight="1">
      <c r="B673" s="70"/>
      <c r="F673" s="66"/>
    </row>
    <row r="674" spans="2:6" ht="21" customHeight="1">
      <c r="B674" s="70"/>
      <c r="F674" s="66"/>
    </row>
    <row r="675" spans="2:6" ht="21" customHeight="1">
      <c r="B675" s="70"/>
      <c r="F675" s="66"/>
    </row>
    <row r="676" spans="2:6" ht="21" customHeight="1">
      <c r="B676" s="70"/>
      <c r="F676" s="66"/>
    </row>
    <row r="677" spans="2:6" ht="21" customHeight="1">
      <c r="B677" s="70"/>
      <c r="F677" s="66"/>
    </row>
    <row r="678" spans="2:6" ht="21" customHeight="1">
      <c r="B678" s="70"/>
      <c r="F678" s="66"/>
    </row>
    <row r="679" spans="2:6" ht="21" customHeight="1">
      <c r="B679" s="70"/>
      <c r="F679" s="66"/>
    </row>
    <row r="680" spans="2:6" ht="21" customHeight="1">
      <c r="B680" s="70"/>
      <c r="F680" s="66"/>
    </row>
    <row r="681" spans="2:6" ht="21" customHeight="1">
      <c r="B681" s="70"/>
      <c r="F681" s="66"/>
    </row>
    <row r="682" spans="2:6" ht="21" customHeight="1">
      <c r="B682" s="70"/>
      <c r="F682" s="66"/>
    </row>
    <row r="683" spans="2:6" ht="21" customHeight="1">
      <c r="B683" s="70"/>
      <c r="F683" s="66"/>
    </row>
    <row r="684" spans="2:6" ht="21" customHeight="1">
      <c r="B684" s="70"/>
      <c r="F684" s="66"/>
    </row>
    <row r="685" spans="2:6" ht="21" customHeight="1">
      <c r="B685" s="70"/>
      <c r="F685" s="66"/>
    </row>
    <row r="686" spans="2:6" ht="21" customHeight="1">
      <c r="B686" s="70"/>
      <c r="F686" s="66"/>
    </row>
    <row r="687" spans="2:6" ht="21" customHeight="1">
      <c r="B687" s="70"/>
      <c r="F687" s="66"/>
    </row>
    <row r="688" spans="2:6" ht="21" customHeight="1">
      <c r="B688" s="70"/>
      <c r="F688" s="66"/>
    </row>
    <row r="689" spans="2:6" ht="21" customHeight="1">
      <c r="B689" s="70"/>
      <c r="F689" s="66"/>
    </row>
    <row r="690" spans="2:6" ht="21" customHeight="1">
      <c r="B690" s="70"/>
      <c r="F690" s="66"/>
    </row>
    <row r="691" spans="2:6" ht="21" customHeight="1">
      <c r="B691" s="70"/>
      <c r="F691" s="66"/>
    </row>
    <row r="692" spans="2:6" ht="21" customHeight="1">
      <c r="B692" s="70"/>
      <c r="F692" s="66"/>
    </row>
    <row r="693" spans="2:6" ht="21" customHeight="1">
      <c r="B693" s="70"/>
      <c r="F693" s="66"/>
    </row>
    <row r="694" spans="2:6" ht="21" customHeight="1">
      <c r="B694" s="70"/>
      <c r="F694" s="66"/>
    </row>
    <row r="695" spans="2:6" ht="21" customHeight="1">
      <c r="B695" s="70"/>
      <c r="F695" s="66"/>
    </row>
    <row r="696" spans="2:6" ht="21" customHeight="1">
      <c r="B696" s="70"/>
      <c r="F696" s="66"/>
    </row>
    <row r="697" spans="2:6" ht="21" customHeight="1">
      <c r="B697" s="70"/>
      <c r="F697" s="66"/>
    </row>
    <row r="698" spans="2:6" ht="21" customHeight="1">
      <c r="B698" s="70"/>
      <c r="F698" s="66"/>
    </row>
    <row r="699" spans="2:6" ht="21" customHeight="1">
      <c r="B699" s="70"/>
      <c r="F699" s="66"/>
    </row>
    <row r="700" spans="2:6" ht="21" customHeight="1">
      <c r="B700" s="70"/>
      <c r="F700" s="66"/>
    </row>
    <row r="701" spans="2:6" ht="21" customHeight="1">
      <c r="B701" s="70"/>
      <c r="F701" s="66"/>
    </row>
    <row r="702" spans="2:6" ht="21" customHeight="1">
      <c r="B702" s="70"/>
      <c r="F702" s="66"/>
    </row>
    <row r="703" spans="2:6" ht="21" customHeight="1">
      <c r="B703" s="70"/>
      <c r="F703" s="66"/>
    </row>
    <row r="704" spans="2:6" ht="21" customHeight="1">
      <c r="B704" s="70"/>
      <c r="F704" s="66"/>
    </row>
    <row r="705" spans="2:6" ht="21" customHeight="1">
      <c r="B705" s="70"/>
      <c r="F705" s="66"/>
    </row>
    <row r="706" spans="2:6" ht="21" customHeight="1">
      <c r="B706" s="70"/>
      <c r="F706" s="66"/>
    </row>
    <row r="707" spans="2:6" ht="21" customHeight="1">
      <c r="B707" s="70"/>
      <c r="F707" s="66"/>
    </row>
    <row r="708" spans="2:6" ht="21" customHeight="1">
      <c r="B708" s="70"/>
      <c r="F708" s="66"/>
    </row>
    <row r="709" spans="2:6" ht="21" customHeight="1">
      <c r="B709" s="70"/>
      <c r="F709" s="66"/>
    </row>
    <row r="710" spans="2:6" ht="21" customHeight="1">
      <c r="B710" s="70"/>
      <c r="F710" s="66"/>
    </row>
    <row r="711" spans="2:6" ht="21" customHeight="1">
      <c r="B711" s="70"/>
      <c r="F711" s="66"/>
    </row>
    <row r="712" spans="2:6" ht="21" customHeight="1">
      <c r="B712" s="70"/>
      <c r="F712" s="66"/>
    </row>
    <row r="713" spans="2:6" ht="21" customHeight="1">
      <c r="B713" s="70"/>
      <c r="F713" s="66"/>
    </row>
    <row r="714" spans="2:6" ht="21" customHeight="1">
      <c r="B714" s="70"/>
      <c r="F714" s="66"/>
    </row>
    <row r="715" spans="2:6" ht="21" customHeight="1">
      <c r="B715" s="70"/>
      <c r="F715" s="66"/>
    </row>
    <row r="716" spans="2:6" ht="21" customHeight="1">
      <c r="B716" s="70"/>
      <c r="F716" s="66"/>
    </row>
    <row r="717" spans="2:6" ht="21" customHeight="1">
      <c r="B717" s="70"/>
      <c r="F717" s="66"/>
    </row>
    <row r="718" spans="2:6" ht="21" customHeight="1">
      <c r="B718" s="70"/>
      <c r="F718" s="66"/>
    </row>
    <row r="719" spans="2:6" ht="21" customHeight="1">
      <c r="B719" s="70"/>
      <c r="F719" s="66"/>
    </row>
    <row r="720" spans="2:6" ht="21" customHeight="1">
      <c r="B720" s="70"/>
      <c r="F720" s="66"/>
    </row>
    <row r="721" spans="2:6" ht="21" customHeight="1">
      <c r="B721" s="70"/>
      <c r="F721" s="66"/>
    </row>
    <row r="722" spans="2:6" ht="21" customHeight="1">
      <c r="B722" s="70"/>
      <c r="F722" s="66"/>
    </row>
    <row r="723" spans="2:6" ht="21" customHeight="1">
      <c r="B723" s="70"/>
      <c r="F723" s="66"/>
    </row>
    <row r="724" spans="2:6" ht="21" customHeight="1">
      <c r="B724" s="70"/>
      <c r="F724" s="66"/>
    </row>
    <row r="725" spans="2:6" ht="21" customHeight="1">
      <c r="B725" s="70"/>
      <c r="F725" s="66"/>
    </row>
    <row r="726" spans="2:6" ht="21" customHeight="1">
      <c r="B726" s="70"/>
      <c r="F726" s="66"/>
    </row>
    <row r="727" spans="2:6" ht="21" customHeight="1">
      <c r="B727" s="70"/>
      <c r="F727" s="66"/>
    </row>
    <row r="728" spans="2:6" ht="21" customHeight="1">
      <c r="B728" s="70"/>
      <c r="F728" s="66"/>
    </row>
    <row r="729" spans="2:6" ht="21" customHeight="1">
      <c r="B729" s="70"/>
      <c r="F729" s="66"/>
    </row>
    <row r="730" spans="2:6" ht="21" customHeight="1">
      <c r="B730" s="70"/>
      <c r="F730" s="66"/>
    </row>
    <row r="731" spans="2:6" ht="21" customHeight="1">
      <c r="B731" s="70"/>
      <c r="F731" s="66"/>
    </row>
    <row r="732" spans="2:6" ht="21" customHeight="1">
      <c r="B732" s="70"/>
      <c r="F732" s="66"/>
    </row>
    <row r="733" spans="2:6" ht="21" customHeight="1">
      <c r="B733" s="70"/>
      <c r="F733" s="66"/>
    </row>
    <row r="734" spans="2:6" ht="21" customHeight="1">
      <c r="B734" s="70"/>
      <c r="F734" s="66"/>
    </row>
    <row r="735" spans="2:6" ht="21" customHeight="1">
      <c r="B735" s="70"/>
      <c r="F735" s="66"/>
    </row>
    <row r="736" spans="2:6" ht="21" customHeight="1">
      <c r="B736" s="70"/>
      <c r="F736" s="66"/>
    </row>
    <row r="737" spans="2:6" ht="21" customHeight="1">
      <c r="B737" s="70"/>
      <c r="F737" s="66"/>
    </row>
    <row r="738" spans="2:6" ht="21" customHeight="1">
      <c r="B738" s="70"/>
      <c r="F738" s="66"/>
    </row>
    <row r="739" spans="2:6" ht="21" customHeight="1">
      <c r="B739" s="70"/>
      <c r="F739" s="66"/>
    </row>
    <row r="740" spans="2:6" ht="21" customHeight="1">
      <c r="B740" s="70"/>
      <c r="F740" s="66"/>
    </row>
    <row r="741" spans="2:6" ht="21" customHeight="1">
      <c r="B741" s="70"/>
      <c r="F741" s="66"/>
    </row>
    <row r="742" spans="2:6" ht="21" customHeight="1">
      <c r="B742" s="70"/>
      <c r="F742" s="66"/>
    </row>
    <row r="743" spans="2:6" ht="21" customHeight="1">
      <c r="B743" s="70"/>
      <c r="F743" s="66"/>
    </row>
    <row r="744" spans="2:6" ht="21" customHeight="1">
      <c r="B744" s="70"/>
      <c r="F744" s="66"/>
    </row>
    <row r="745" spans="2:6" ht="21" customHeight="1">
      <c r="B745" s="70"/>
      <c r="F745" s="66"/>
    </row>
    <row r="746" spans="2:6" ht="21" customHeight="1">
      <c r="B746" s="70"/>
      <c r="F746" s="66"/>
    </row>
    <row r="747" spans="2:6" ht="21" customHeight="1">
      <c r="B747" s="70"/>
      <c r="F747" s="66"/>
    </row>
    <row r="748" spans="2:6" ht="21" customHeight="1">
      <c r="B748" s="70"/>
      <c r="F748" s="66"/>
    </row>
    <row r="749" spans="2:6" ht="21" customHeight="1">
      <c r="B749" s="70"/>
      <c r="F749" s="66"/>
    </row>
    <row r="750" spans="2:6" ht="21" customHeight="1">
      <c r="B750" s="70"/>
      <c r="F750" s="66"/>
    </row>
    <row r="751" spans="2:6" ht="21" customHeight="1">
      <c r="B751" s="70"/>
      <c r="F751" s="66"/>
    </row>
    <row r="752" spans="2:6" ht="21" customHeight="1">
      <c r="B752" s="70"/>
      <c r="F752" s="66"/>
    </row>
    <row r="753" spans="2:6" ht="21" customHeight="1">
      <c r="B753" s="70"/>
      <c r="F753" s="66"/>
    </row>
    <row r="754" spans="2:6" ht="21" customHeight="1">
      <c r="B754" s="70"/>
      <c r="F754" s="66"/>
    </row>
    <row r="755" spans="2:6" ht="21" customHeight="1">
      <c r="B755" s="70"/>
      <c r="F755" s="66"/>
    </row>
    <row r="756" spans="2:6" ht="21" customHeight="1">
      <c r="B756" s="70"/>
      <c r="F756" s="66"/>
    </row>
    <row r="757" spans="2:6" ht="21" customHeight="1">
      <c r="B757" s="70"/>
      <c r="F757" s="66"/>
    </row>
    <row r="758" spans="2:6" ht="21" customHeight="1">
      <c r="B758" s="70"/>
      <c r="F758" s="66"/>
    </row>
    <row r="759" spans="2:6" ht="21" customHeight="1">
      <c r="B759" s="70"/>
      <c r="F759" s="66"/>
    </row>
    <row r="760" spans="2:6" ht="21" customHeight="1">
      <c r="B760" s="70"/>
      <c r="F760" s="66"/>
    </row>
    <row r="761" spans="2:6" ht="21" customHeight="1">
      <c r="B761" s="70"/>
      <c r="F761" s="66"/>
    </row>
    <row r="762" spans="2:6" ht="21" customHeight="1">
      <c r="B762" s="70"/>
      <c r="F762" s="66"/>
    </row>
    <row r="763" spans="2:6" ht="21" customHeight="1">
      <c r="B763" s="70"/>
      <c r="F763" s="66"/>
    </row>
    <row r="764" spans="2:6" ht="21" customHeight="1">
      <c r="B764" s="70"/>
      <c r="F764" s="66"/>
    </row>
    <row r="765" spans="2:6" ht="21" customHeight="1">
      <c r="B765" s="70"/>
      <c r="F765" s="66"/>
    </row>
    <row r="766" spans="2:6" ht="21" customHeight="1">
      <c r="B766" s="70"/>
      <c r="F766" s="66"/>
    </row>
    <row r="767" spans="2:6" ht="21" customHeight="1">
      <c r="B767" s="70"/>
      <c r="F767" s="66"/>
    </row>
    <row r="768" spans="2:6" ht="21" customHeight="1">
      <c r="B768" s="70"/>
      <c r="F768" s="66"/>
    </row>
    <row r="769" spans="2:6" ht="21" customHeight="1">
      <c r="B769" s="70"/>
      <c r="F769" s="66"/>
    </row>
    <row r="770" spans="2:6" ht="21" customHeight="1">
      <c r="B770" s="70"/>
      <c r="F770" s="66"/>
    </row>
    <row r="771" spans="2:6" ht="21" customHeight="1">
      <c r="B771" s="70"/>
      <c r="F771" s="66"/>
    </row>
    <row r="772" spans="2:6" ht="21" customHeight="1">
      <c r="B772" s="70"/>
      <c r="F772" s="66"/>
    </row>
    <row r="773" spans="2:6" ht="21" customHeight="1">
      <c r="B773" s="70"/>
      <c r="F773" s="66"/>
    </row>
    <row r="774" spans="2:6" ht="21" customHeight="1">
      <c r="B774" s="70"/>
      <c r="F774" s="66"/>
    </row>
    <row r="775" spans="2:6" ht="21" customHeight="1">
      <c r="B775" s="70"/>
      <c r="F775" s="66"/>
    </row>
    <row r="776" spans="2:6" ht="21" customHeight="1">
      <c r="B776" s="70"/>
      <c r="F776" s="66"/>
    </row>
    <row r="777" spans="2:6" ht="21" customHeight="1">
      <c r="B777" s="70"/>
      <c r="F777" s="66"/>
    </row>
    <row r="778" spans="2:6" ht="21" customHeight="1">
      <c r="B778" s="70"/>
      <c r="F778" s="66"/>
    </row>
    <row r="779" spans="2:6" ht="21" customHeight="1">
      <c r="B779" s="70"/>
      <c r="F779" s="66"/>
    </row>
    <row r="780" spans="2:6" ht="21" customHeight="1">
      <c r="B780" s="70"/>
      <c r="F780" s="66"/>
    </row>
    <row r="781" spans="2:6" ht="21" customHeight="1">
      <c r="B781" s="70"/>
      <c r="F781" s="66"/>
    </row>
    <row r="782" spans="2:6" ht="21" customHeight="1">
      <c r="B782" s="70"/>
      <c r="F782" s="66"/>
    </row>
    <row r="783" spans="2:6" ht="21" customHeight="1">
      <c r="B783" s="70"/>
      <c r="F783" s="66"/>
    </row>
    <row r="784" spans="2:6" ht="21" customHeight="1">
      <c r="B784" s="70"/>
      <c r="F784" s="66"/>
    </row>
    <row r="785" spans="2:6" ht="21" customHeight="1">
      <c r="B785" s="70"/>
      <c r="F785" s="66"/>
    </row>
    <row r="786" spans="2:6" ht="21" customHeight="1">
      <c r="B786" s="70"/>
      <c r="F786" s="66"/>
    </row>
    <row r="787" spans="2:6" ht="21" customHeight="1">
      <c r="B787" s="70"/>
      <c r="F787" s="66"/>
    </row>
    <row r="788" spans="2:6" ht="21" customHeight="1">
      <c r="B788" s="70"/>
      <c r="F788" s="66"/>
    </row>
    <row r="789" spans="2:6" ht="21" customHeight="1">
      <c r="B789" s="70"/>
      <c r="F789" s="66"/>
    </row>
    <row r="790" spans="2:6" ht="21" customHeight="1">
      <c r="B790" s="70"/>
      <c r="F790" s="66"/>
    </row>
    <row r="791" spans="2:6" ht="21" customHeight="1">
      <c r="B791" s="70"/>
      <c r="F791" s="66"/>
    </row>
    <row r="792" spans="2:6" ht="21" customHeight="1">
      <c r="B792" s="70"/>
      <c r="F792" s="66"/>
    </row>
    <row r="793" spans="2:6" ht="21" customHeight="1">
      <c r="B793" s="70"/>
      <c r="F793" s="66"/>
    </row>
    <row r="794" spans="2:6" ht="21" customHeight="1">
      <c r="B794" s="70"/>
      <c r="F794" s="66"/>
    </row>
    <row r="795" spans="2:6" ht="21" customHeight="1">
      <c r="B795" s="70"/>
      <c r="F795" s="66"/>
    </row>
    <row r="796" spans="2:6" ht="21" customHeight="1">
      <c r="B796" s="70"/>
      <c r="F796" s="66"/>
    </row>
    <row r="797" spans="2:6" ht="21" customHeight="1">
      <c r="B797" s="70"/>
      <c r="F797" s="66"/>
    </row>
    <row r="798" spans="2:6" ht="21" customHeight="1">
      <c r="B798" s="70"/>
      <c r="F798" s="66"/>
    </row>
    <row r="799" spans="2:6" ht="21" customHeight="1">
      <c r="B799" s="70"/>
      <c r="F799" s="66"/>
    </row>
    <row r="800" spans="2:6" ht="21" customHeight="1">
      <c r="B800" s="70"/>
      <c r="F800" s="66"/>
    </row>
    <row r="801" spans="2:6" ht="21" customHeight="1">
      <c r="B801" s="70"/>
      <c r="F801" s="66"/>
    </row>
    <row r="802" spans="2:6" ht="21" customHeight="1">
      <c r="B802" s="70"/>
      <c r="F802" s="66"/>
    </row>
    <row r="803" spans="2:6" ht="21" customHeight="1">
      <c r="B803" s="70"/>
      <c r="F803" s="66"/>
    </row>
    <row r="804" spans="2:6" ht="21" customHeight="1">
      <c r="B804" s="70"/>
      <c r="F804" s="66"/>
    </row>
    <row r="805" spans="2:6" ht="21" customHeight="1">
      <c r="B805" s="70"/>
      <c r="F805" s="66"/>
    </row>
    <row r="806" spans="2:6" ht="21" customHeight="1">
      <c r="B806" s="70"/>
      <c r="F806" s="66"/>
    </row>
    <row r="807" spans="2:6" ht="21" customHeight="1">
      <c r="B807" s="70"/>
      <c r="F807" s="66"/>
    </row>
    <row r="808" spans="2:6" ht="21" customHeight="1">
      <c r="B808" s="70"/>
      <c r="F808" s="66"/>
    </row>
    <row r="809" spans="2:6" ht="21" customHeight="1">
      <c r="B809" s="70"/>
      <c r="F809" s="66"/>
    </row>
    <row r="810" spans="2:6" ht="21" customHeight="1">
      <c r="B810" s="70"/>
      <c r="F810" s="66"/>
    </row>
    <row r="811" spans="2:6" ht="21" customHeight="1">
      <c r="B811" s="70"/>
      <c r="F811" s="66"/>
    </row>
    <row r="812" spans="2:6" ht="21" customHeight="1">
      <c r="B812" s="70"/>
      <c r="F812" s="66"/>
    </row>
    <row r="813" spans="2:6" ht="21" customHeight="1">
      <c r="B813" s="70"/>
      <c r="F813" s="66"/>
    </row>
    <row r="814" spans="2:6" ht="21" customHeight="1">
      <c r="B814" s="70"/>
      <c r="F814" s="66"/>
    </row>
    <row r="815" spans="2:6" ht="21" customHeight="1">
      <c r="B815" s="70"/>
      <c r="F815" s="66"/>
    </row>
    <row r="816" spans="2:6" ht="21" customHeight="1">
      <c r="B816" s="70"/>
      <c r="F816" s="66"/>
    </row>
    <row r="817" spans="2:6" ht="21" customHeight="1">
      <c r="B817" s="70"/>
      <c r="F817" s="66"/>
    </row>
    <row r="818" spans="2:6" ht="21" customHeight="1">
      <c r="B818" s="70"/>
      <c r="F818" s="66"/>
    </row>
    <row r="819" spans="2:6" ht="21" customHeight="1">
      <c r="B819" s="70"/>
      <c r="F819" s="66"/>
    </row>
    <row r="820" spans="2:6" ht="21" customHeight="1">
      <c r="B820" s="70"/>
      <c r="F820" s="66"/>
    </row>
    <row r="821" spans="2:6" ht="21" customHeight="1">
      <c r="B821" s="70"/>
      <c r="F821" s="66"/>
    </row>
    <row r="822" spans="2:6" ht="21" customHeight="1">
      <c r="B822" s="70"/>
      <c r="F822" s="66"/>
    </row>
    <row r="823" spans="2:6" ht="21" customHeight="1">
      <c r="B823" s="70"/>
      <c r="F823" s="66"/>
    </row>
    <row r="824" spans="2:6" ht="21" customHeight="1">
      <c r="B824" s="70"/>
      <c r="F824" s="66"/>
    </row>
    <row r="825" spans="2:6" ht="21" customHeight="1">
      <c r="B825" s="70"/>
      <c r="F825" s="66"/>
    </row>
    <row r="826" spans="2:6" ht="21" customHeight="1">
      <c r="B826" s="70"/>
      <c r="F826" s="66"/>
    </row>
    <row r="827" spans="2:6" ht="21" customHeight="1">
      <c r="B827" s="70"/>
      <c r="F827" s="66"/>
    </row>
    <row r="828" spans="2:6" ht="21" customHeight="1">
      <c r="B828" s="70"/>
      <c r="F828" s="66"/>
    </row>
    <row r="829" spans="2:6" ht="21" customHeight="1">
      <c r="B829" s="70"/>
      <c r="F829" s="66"/>
    </row>
    <row r="830" spans="2:6" ht="21" customHeight="1">
      <c r="B830" s="70"/>
      <c r="F830" s="66"/>
    </row>
    <row r="831" spans="2:6" ht="21" customHeight="1">
      <c r="B831" s="70"/>
      <c r="F831" s="66"/>
    </row>
    <row r="832" spans="2:6" ht="21" customHeight="1">
      <c r="B832" s="70"/>
      <c r="F832" s="66"/>
    </row>
    <row r="833" spans="2:6" ht="21" customHeight="1">
      <c r="B833" s="70"/>
      <c r="F833" s="66"/>
    </row>
    <row r="834" spans="2:6" ht="21" customHeight="1">
      <c r="B834" s="70"/>
      <c r="F834" s="66"/>
    </row>
    <row r="835" spans="2:6" ht="21" customHeight="1">
      <c r="B835" s="70"/>
      <c r="F835" s="66"/>
    </row>
    <row r="836" spans="2:6" ht="21" customHeight="1">
      <c r="B836" s="70"/>
      <c r="F836" s="66"/>
    </row>
    <row r="837" spans="2:6" ht="21" customHeight="1">
      <c r="B837" s="70"/>
      <c r="F837" s="66"/>
    </row>
    <row r="838" spans="2:6" ht="21" customHeight="1">
      <c r="B838" s="70"/>
      <c r="F838" s="66"/>
    </row>
    <row r="839" spans="2:6" ht="21" customHeight="1">
      <c r="B839" s="70"/>
      <c r="F839" s="66"/>
    </row>
    <row r="840" spans="2:6" ht="21" customHeight="1">
      <c r="B840" s="70"/>
      <c r="F840" s="66"/>
    </row>
    <row r="841" spans="2:6" ht="21" customHeight="1">
      <c r="B841" s="70"/>
      <c r="F841" s="66"/>
    </row>
    <row r="842" spans="2:6" ht="21" customHeight="1">
      <c r="B842" s="70"/>
      <c r="F842" s="66"/>
    </row>
    <row r="843" spans="2:6" ht="21" customHeight="1">
      <c r="B843" s="70"/>
      <c r="F843" s="66"/>
    </row>
    <row r="844" spans="2:6" ht="21" customHeight="1">
      <c r="B844" s="70"/>
      <c r="F844" s="66"/>
    </row>
    <row r="845" spans="2:6" ht="21" customHeight="1">
      <c r="B845" s="70"/>
      <c r="F845" s="66"/>
    </row>
    <row r="846" spans="2:6" ht="21" customHeight="1">
      <c r="B846" s="70"/>
      <c r="F846" s="66"/>
    </row>
    <row r="847" spans="2:6" ht="21" customHeight="1">
      <c r="B847" s="70"/>
      <c r="F847" s="66"/>
    </row>
    <row r="848" spans="2:6" ht="21" customHeight="1">
      <c r="B848" s="70"/>
      <c r="F848" s="66"/>
    </row>
    <row r="849" spans="2:6" ht="21" customHeight="1">
      <c r="B849" s="70"/>
      <c r="F849" s="66"/>
    </row>
    <row r="850" spans="2:6" ht="21" customHeight="1">
      <c r="B850" s="70"/>
      <c r="F850" s="66"/>
    </row>
    <row r="851" spans="2:6" ht="21" customHeight="1">
      <c r="B851" s="70"/>
      <c r="F851" s="66"/>
    </row>
    <row r="852" spans="2:6" ht="21" customHeight="1">
      <c r="B852" s="70"/>
      <c r="F852" s="66"/>
    </row>
    <row r="853" spans="2:6" ht="21" customHeight="1">
      <c r="B853" s="70"/>
      <c r="F853" s="66"/>
    </row>
    <row r="854" spans="2:6" ht="21" customHeight="1">
      <c r="B854" s="70"/>
      <c r="F854" s="66"/>
    </row>
    <row r="855" spans="2:6" ht="21" customHeight="1">
      <c r="B855" s="70"/>
      <c r="F855" s="66"/>
    </row>
    <row r="856" spans="2:6" ht="21" customHeight="1">
      <c r="B856" s="70"/>
      <c r="F856" s="66"/>
    </row>
    <row r="857" spans="2:6" ht="21" customHeight="1">
      <c r="B857" s="70"/>
      <c r="F857" s="66"/>
    </row>
    <row r="858" spans="2:6" ht="21" customHeight="1">
      <c r="B858" s="70"/>
      <c r="F858" s="66"/>
    </row>
    <row r="859" spans="2:6" ht="21" customHeight="1">
      <c r="B859" s="70"/>
      <c r="F859" s="66"/>
    </row>
    <row r="860" spans="2:6" ht="21" customHeight="1">
      <c r="B860" s="70"/>
      <c r="F860" s="66"/>
    </row>
    <row r="861" spans="2:6" ht="21" customHeight="1">
      <c r="B861" s="70"/>
      <c r="F861" s="66"/>
    </row>
    <row r="862" spans="2:6" ht="21" customHeight="1">
      <c r="B862" s="70"/>
      <c r="F862" s="66"/>
    </row>
    <row r="863" spans="2:6" ht="21" customHeight="1">
      <c r="B863" s="70"/>
      <c r="F863" s="66"/>
    </row>
    <row r="864" spans="2:6" ht="21" customHeight="1">
      <c r="B864" s="70"/>
      <c r="F864" s="66"/>
    </row>
    <row r="865" spans="2:6" ht="21" customHeight="1">
      <c r="B865" s="70"/>
      <c r="F865" s="66"/>
    </row>
    <row r="866" spans="2:6" ht="21" customHeight="1">
      <c r="B866" s="70"/>
      <c r="F866" s="66"/>
    </row>
    <row r="867" spans="2:6" ht="21" customHeight="1">
      <c r="B867" s="70"/>
      <c r="F867" s="66"/>
    </row>
    <row r="868" spans="2:6" ht="21" customHeight="1">
      <c r="B868" s="70"/>
      <c r="F868" s="66"/>
    </row>
    <row r="869" spans="2:6" ht="21" customHeight="1">
      <c r="B869" s="70"/>
      <c r="F869" s="66"/>
    </row>
    <row r="870" spans="2:6" ht="21" customHeight="1">
      <c r="B870" s="70"/>
      <c r="F870" s="66"/>
    </row>
    <row r="871" spans="2:6" ht="21" customHeight="1">
      <c r="B871" s="70"/>
      <c r="F871" s="66"/>
    </row>
    <row r="872" spans="2:6" ht="21" customHeight="1">
      <c r="B872" s="70"/>
      <c r="F872" s="66"/>
    </row>
    <row r="873" spans="2:6" ht="21" customHeight="1">
      <c r="B873" s="70"/>
      <c r="F873" s="66"/>
    </row>
    <row r="874" spans="2:6" ht="21" customHeight="1">
      <c r="B874" s="70"/>
      <c r="F874" s="66"/>
    </row>
    <row r="875" spans="2:6" ht="21" customHeight="1">
      <c r="B875" s="70"/>
      <c r="F875" s="66"/>
    </row>
    <row r="876" spans="2:6" ht="21" customHeight="1">
      <c r="B876" s="70"/>
      <c r="F876" s="66"/>
    </row>
    <row r="877" spans="2:6" ht="21" customHeight="1">
      <c r="B877" s="70"/>
      <c r="F877" s="66"/>
    </row>
    <row r="878" spans="2:6" ht="21" customHeight="1">
      <c r="B878" s="70"/>
      <c r="F878" s="66"/>
    </row>
    <row r="879" spans="2:6" ht="21" customHeight="1">
      <c r="B879" s="70"/>
      <c r="F879" s="66"/>
    </row>
    <row r="880" spans="2:6" ht="21" customHeight="1">
      <c r="B880" s="70"/>
      <c r="F880" s="66"/>
    </row>
    <row r="881" spans="2:6" ht="21" customHeight="1">
      <c r="B881" s="70"/>
      <c r="F881" s="66"/>
    </row>
    <row r="882" spans="2:6" ht="21" customHeight="1">
      <c r="B882" s="70"/>
      <c r="F882" s="66"/>
    </row>
    <row r="883" spans="2:6" ht="21" customHeight="1">
      <c r="B883" s="70"/>
      <c r="F883" s="66"/>
    </row>
    <row r="884" spans="2:6" ht="21" customHeight="1">
      <c r="B884" s="70"/>
      <c r="F884" s="66"/>
    </row>
    <row r="885" spans="2:6" ht="21" customHeight="1">
      <c r="B885" s="70"/>
      <c r="F885" s="66"/>
    </row>
    <row r="886" spans="2:6" ht="21" customHeight="1">
      <c r="B886" s="70"/>
      <c r="F886" s="66"/>
    </row>
    <row r="887" spans="2:6" ht="21" customHeight="1">
      <c r="B887" s="70"/>
      <c r="F887" s="66"/>
    </row>
    <row r="888" spans="2:6" ht="21" customHeight="1">
      <c r="B888" s="70"/>
      <c r="F888" s="66"/>
    </row>
    <row r="889" spans="2:6" ht="21" customHeight="1">
      <c r="B889" s="70"/>
      <c r="F889" s="66"/>
    </row>
    <row r="890" spans="2:6" ht="21" customHeight="1">
      <c r="B890" s="70"/>
      <c r="F890" s="66"/>
    </row>
    <row r="891" spans="2:6" ht="21" customHeight="1">
      <c r="B891" s="70"/>
      <c r="F891" s="66"/>
    </row>
    <row r="892" spans="2:6" ht="21" customHeight="1">
      <c r="B892" s="70"/>
      <c r="F892" s="66"/>
    </row>
    <row r="893" spans="2:6" ht="21" customHeight="1">
      <c r="B893" s="70"/>
      <c r="F893" s="66"/>
    </row>
    <row r="894" spans="2:6" ht="21" customHeight="1">
      <c r="B894" s="70"/>
      <c r="F894" s="66"/>
    </row>
    <row r="895" spans="2:6" ht="21" customHeight="1">
      <c r="B895" s="70"/>
      <c r="F895" s="66"/>
    </row>
    <row r="896" spans="2:6" ht="21" customHeight="1">
      <c r="B896" s="70"/>
      <c r="F896" s="66"/>
    </row>
    <row r="897" spans="2:6" ht="21" customHeight="1">
      <c r="B897" s="70"/>
      <c r="F897" s="66"/>
    </row>
    <row r="898" spans="2:6" ht="21" customHeight="1">
      <c r="B898" s="70"/>
      <c r="F898" s="66"/>
    </row>
    <row r="899" spans="2:6" ht="21" customHeight="1">
      <c r="B899" s="70"/>
      <c r="F899" s="66"/>
    </row>
    <row r="900" spans="2:6" ht="21" customHeight="1">
      <c r="B900" s="70"/>
      <c r="F900" s="66"/>
    </row>
    <row r="901" spans="2:6" ht="21" customHeight="1">
      <c r="B901" s="70"/>
      <c r="F901" s="66"/>
    </row>
    <row r="902" spans="2:6" ht="21" customHeight="1">
      <c r="B902" s="70"/>
      <c r="F902" s="66"/>
    </row>
    <row r="903" spans="2:6" ht="21" customHeight="1">
      <c r="B903" s="70"/>
      <c r="F903" s="66"/>
    </row>
    <row r="904" spans="2:6" ht="21" customHeight="1">
      <c r="B904" s="70"/>
      <c r="F904" s="66"/>
    </row>
    <row r="905" spans="2:6" ht="21" customHeight="1">
      <c r="B905" s="70"/>
      <c r="F905" s="66"/>
    </row>
    <row r="906" spans="2:6" ht="21" customHeight="1">
      <c r="B906" s="70"/>
      <c r="F906" s="66"/>
    </row>
    <row r="907" spans="2:6" ht="21" customHeight="1">
      <c r="B907" s="70"/>
      <c r="F907" s="66"/>
    </row>
    <row r="908" spans="2:6" ht="21" customHeight="1">
      <c r="B908" s="70"/>
      <c r="F908" s="66"/>
    </row>
    <row r="909" spans="2:6" ht="21" customHeight="1">
      <c r="B909" s="70"/>
      <c r="F909" s="66"/>
    </row>
    <row r="910" spans="2:6" ht="21" customHeight="1">
      <c r="B910" s="70"/>
      <c r="F910" s="66"/>
    </row>
    <row r="911" spans="2:6" ht="21" customHeight="1">
      <c r="B911" s="70"/>
      <c r="F911" s="66"/>
    </row>
    <row r="912" spans="2:6" ht="21" customHeight="1">
      <c r="B912" s="70"/>
      <c r="F912" s="66"/>
    </row>
    <row r="913" spans="2:6" ht="21" customHeight="1">
      <c r="B913" s="70"/>
      <c r="F913" s="66"/>
    </row>
    <row r="914" spans="2:6" ht="21" customHeight="1">
      <c r="B914" s="70"/>
      <c r="F914" s="66"/>
    </row>
    <row r="915" spans="2:6" ht="21" customHeight="1">
      <c r="B915" s="70"/>
      <c r="F915" s="66"/>
    </row>
    <row r="916" spans="2:6" ht="21" customHeight="1">
      <c r="B916" s="70"/>
      <c r="F916" s="66"/>
    </row>
    <row r="917" spans="2:6" ht="21" customHeight="1">
      <c r="B917" s="70"/>
      <c r="F917" s="66"/>
    </row>
    <row r="918" spans="2:6" ht="21" customHeight="1">
      <c r="B918" s="70"/>
      <c r="F918" s="66"/>
    </row>
    <row r="919" spans="2:6" ht="21" customHeight="1">
      <c r="B919" s="70"/>
      <c r="F919" s="66"/>
    </row>
    <row r="920" spans="2:6" ht="21" customHeight="1">
      <c r="B920" s="70"/>
      <c r="F920" s="66"/>
    </row>
    <row r="921" spans="2:6" ht="21" customHeight="1">
      <c r="B921" s="70"/>
      <c r="F921" s="66"/>
    </row>
    <row r="922" spans="2:6" ht="21" customHeight="1">
      <c r="B922" s="70"/>
      <c r="F922" s="66"/>
    </row>
    <row r="923" spans="2:6" ht="21" customHeight="1">
      <c r="B923" s="70"/>
      <c r="F923" s="66"/>
    </row>
    <row r="924" spans="2:6" ht="21" customHeight="1">
      <c r="B924" s="70"/>
      <c r="F924" s="66"/>
    </row>
    <row r="925" spans="2:6" ht="21" customHeight="1">
      <c r="B925" s="70"/>
      <c r="F925" s="66"/>
    </row>
    <row r="926" spans="2:6" ht="21" customHeight="1">
      <c r="B926" s="70"/>
      <c r="F926" s="66"/>
    </row>
    <row r="927" spans="2:6" ht="21" customHeight="1">
      <c r="B927" s="70"/>
      <c r="F927" s="66"/>
    </row>
    <row r="928" spans="2:6" ht="21" customHeight="1">
      <c r="B928" s="70"/>
      <c r="F928" s="66"/>
    </row>
    <row r="929" spans="2:6" ht="21" customHeight="1">
      <c r="B929" s="70"/>
      <c r="F929" s="66"/>
    </row>
    <row r="930" spans="2:6" ht="21" customHeight="1">
      <c r="B930" s="70"/>
      <c r="F930" s="66"/>
    </row>
    <row r="931" spans="2:6" ht="21" customHeight="1">
      <c r="B931" s="70"/>
      <c r="F931" s="66"/>
    </row>
    <row r="932" spans="2:6" ht="21" customHeight="1">
      <c r="B932" s="70"/>
      <c r="F932" s="66"/>
    </row>
    <row r="933" spans="2:6" ht="21" customHeight="1">
      <c r="B933" s="70"/>
      <c r="F933" s="66"/>
    </row>
    <row r="934" spans="2:6" ht="21" customHeight="1">
      <c r="B934" s="70"/>
      <c r="F934" s="66"/>
    </row>
    <row r="935" spans="2:6" ht="21" customHeight="1">
      <c r="B935" s="70"/>
      <c r="F935" s="66"/>
    </row>
    <row r="936" spans="2:6" ht="21" customHeight="1">
      <c r="B936" s="70"/>
      <c r="F936" s="66"/>
    </row>
    <row r="937" spans="2:6" ht="21" customHeight="1">
      <c r="B937" s="70"/>
      <c r="F937" s="66"/>
    </row>
    <row r="938" spans="2:6" ht="21" customHeight="1">
      <c r="B938" s="70"/>
      <c r="F938" s="66"/>
    </row>
    <row r="939" spans="2:6" ht="21" customHeight="1">
      <c r="B939" s="70"/>
      <c r="F939" s="66"/>
    </row>
    <row r="940" spans="2:6" ht="21" customHeight="1">
      <c r="B940" s="70"/>
      <c r="F940" s="66"/>
    </row>
    <row r="941" spans="2:6" ht="21" customHeight="1">
      <c r="B941" s="70"/>
      <c r="F941" s="66"/>
    </row>
    <row r="942" spans="2:6" ht="21" customHeight="1">
      <c r="B942" s="70"/>
      <c r="F942" s="66"/>
    </row>
    <row r="943" spans="2:6" ht="21" customHeight="1">
      <c r="B943" s="70"/>
      <c r="F943" s="66"/>
    </row>
    <row r="944" spans="2:6" ht="21" customHeight="1">
      <c r="B944" s="70"/>
      <c r="F944" s="66"/>
    </row>
    <row r="945" spans="2:6" ht="21" customHeight="1">
      <c r="B945" s="70"/>
      <c r="F945" s="66"/>
    </row>
    <row r="946" spans="2:6" ht="21" customHeight="1">
      <c r="B946" s="70"/>
      <c r="F946" s="66"/>
    </row>
    <row r="947" spans="2:6" ht="21" customHeight="1">
      <c r="B947" s="70"/>
      <c r="F947" s="66"/>
    </row>
    <row r="948" spans="2:6" ht="21" customHeight="1">
      <c r="B948" s="70"/>
      <c r="F948" s="66"/>
    </row>
    <row r="949" spans="2:6" ht="21" customHeight="1">
      <c r="B949" s="70"/>
      <c r="F949" s="66"/>
    </row>
    <row r="950" spans="2:6" ht="21" customHeight="1">
      <c r="B950" s="70"/>
      <c r="F950" s="66"/>
    </row>
    <row r="951" spans="2:6" ht="21" customHeight="1">
      <c r="B951" s="70"/>
      <c r="F951" s="66"/>
    </row>
    <row r="952" spans="2:6" ht="21" customHeight="1">
      <c r="B952" s="70"/>
      <c r="F952" s="66"/>
    </row>
    <row r="953" spans="2:6" ht="21" customHeight="1">
      <c r="B953" s="70"/>
      <c r="F953" s="66"/>
    </row>
    <row r="954" spans="2:6" ht="21" customHeight="1">
      <c r="B954" s="70"/>
      <c r="F954" s="66"/>
    </row>
    <row r="955" spans="2:6" ht="21" customHeight="1">
      <c r="B955" s="70"/>
      <c r="F955" s="66"/>
    </row>
    <row r="956" spans="2:6" ht="21" customHeight="1">
      <c r="B956" s="70"/>
      <c r="F956" s="66"/>
    </row>
    <row r="957" spans="2:6" ht="21" customHeight="1">
      <c r="B957" s="70"/>
      <c r="F957" s="66"/>
    </row>
    <row r="958" spans="2:6" ht="21" customHeight="1">
      <c r="B958" s="70"/>
      <c r="F958" s="66"/>
    </row>
    <row r="959" spans="2:6" ht="21" customHeight="1">
      <c r="B959" s="70"/>
      <c r="F959" s="66"/>
    </row>
    <row r="960" spans="2:6" ht="21" customHeight="1">
      <c r="B960" s="70"/>
      <c r="F960" s="66"/>
    </row>
    <row r="961" spans="2:6" ht="21" customHeight="1">
      <c r="B961" s="70"/>
      <c r="F961" s="66"/>
    </row>
    <row r="962" spans="2:6" ht="21" customHeight="1">
      <c r="B962" s="70"/>
      <c r="F962" s="66"/>
    </row>
    <row r="963" spans="2:6" ht="21" customHeight="1">
      <c r="B963" s="70"/>
      <c r="F963" s="66"/>
    </row>
    <row r="964" spans="2:6" ht="21" customHeight="1">
      <c r="B964" s="70"/>
      <c r="F964" s="66"/>
    </row>
    <row r="965" spans="2:6" ht="21" customHeight="1">
      <c r="B965" s="70"/>
      <c r="F965" s="66"/>
    </row>
    <row r="966" spans="2:6" ht="21" customHeight="1">
      <c r="B966" s="70"/>
      <c r="F966" s="66"/>
    </row>
    <row r="967" spans="2:6" ht="21" customHeight="1">
      <c r="B967" s="70"/>
      <c r="F967" s="66"/>
    </row>
    <row r="968" spans="2:6" ht="21" customHeight="1">
      <c r="B968" s="70"/>
      <c r="F968" s="66"/>
    </row>
    <row r="969" spans="2:6" ht="21" customHeight="1">
      <c r="B969" s="70"/>
      <c r="F969" s="66"/>
    </row>
    <row r="970" spans="2:6" ht="21" customHeight="1">
      <c r="B970" s="70"/>
      <c r="F970" s="66"/>
    </row>
    <row r="971" spans="2:6" ht="21" customHeight="1">
      <c r="B971" s="70"/>
      <c r="F971" s="66"/>
    </row>
    <row r="972" spans="2:6" ht="21" customHeight="1">
      <c r="B972" s="70"/>
      <c r="F972" s="66"/>
    </row>
    <row r="973" spans="2:6" ht="21" customHeight="1">
      <c r="B973" s="70"/>
      <c r="F973" s="66"/>
    </row>
    <row r="974" spans="2:6" ht="21" customHeight="1">
      <c r="B974" s="70"/>
      <c r="F974" s="66"/>
    </row>
    <row r="975" spans="2:6" ht="21" customHeight="1">
      <c r="B975" s="70"/>
      <c r="F975" s="66"/>
    </row>
    <row r="976" spans="2:6" ht="21" customHeight="1">
      <c r="B976" s="70"/>
      <c r="F976" s="66"/>
    </row>
    <row r="977" spans="2:6" ht="21" customHeight="1">
      <c r="B977" s="70"/>
      <c r="F977" s="66"/>
    </row>
    <row r="978" spans="2:6" ht="21" customHeight="1">
      <c r="B978" s="70"/>
      <c r="F978" s="66"/>
    </row>
    <row r="979" spans="2:6" ht="21" customHeight="1">
      <c r="B979" s="70"/>
      <c r="F979" s="66"/>
    </row>
    <row r="980" spans="2:6" ht="21" customHeight="1">
      <c r="B980" s="70"/>
      <c r="F980" s="66"/>
    </row>
    <row r="981" spans="2:6" ht="21" customHeight="1">
      <c r="B981" s="70"/>
      <c r="F981" s="66"/>
    </row>
    <row r="982" spans="2:6" ht="21" customHeight="1">
      <c r="B982" s="70"/>
      <c r="F982" s="66"/>
    </row>
    <row r="983" spans="2:6" ht="21" customHeight="1">
      <c r="B983" s="70"/>
      <c r="F983" s="66"/>
    </row>
    <row r="984" spans="2:6" ht="21" customHeight="1">
      <c r="B984" s="70"/>
      <c r="F984" s="66"/>
    </row>
    <row r="985" spans="2:6" ht="21" customHeight="1">
      <c r="B985" s="70"/>
      <c r="F985" s="66"/>
    </row>
    <row r="986" spans="2:6" ht="21" customHeight="1">
      <c r="B986" s="70"/>
      <c r="F986" s="66"/>
    </row>
    <row r="987" spans="2:6" ht="21" customHeight="1">
      <c r="B987" s="70"/>
      <c r="F987" s="66"/>
    </row>
    <row r="988" spans="2:6" ht="21" customHeight="1">
      <c r="B988" s="70"/>
      <c r="F988" s="66"/>
    </row>
    <row r="989" spans="2:6" ht="21" customHeight="1">
      <c r="B989" s="70"/>
      <c r="F989" s="66"/>
    </row>
    <row r="990" spans="2:6" ht="21" customHeight="1">
      <c r="B990" s="70"/>
      <c r="F990" s="66"/>
    </row>
    <row r="991" spans="2:6" ht="21" customHeight="1">
      <c r="B991" s="70"/>
      <c r="F991" s="66"/>
    </row>
    <row r="992" spans="2:6" ht="21" customHeight="1">
      <c r="B992" s="70"/>
      <c r="F992" s="66"/>
    </row>
    <row r="993" spans="2:6" ht="21" customHeight="1">
      <c r="B993" s="70"/>
      <c r="F993" s="66"/>
    </row>
    <row r="994" spans="2:6" ht="21" customHeight="1">
      <c r="B994" s="70"/>
      <c r="F994" s="66"/>
    </row>
    <row r="995" spans="2:6" ht="21" customHeight="1">
      <c r="B995" s="70"/>
      <c r="F995" s="66"/>
    </row>
    <row r="996" spans="2:6" ht="21" customHeight="1">
      <c r="B996" s="70"/>
      <c r="F996" s="66"/>
    </row>
  </sheetData>
  <mergeCells count="3">
    <mergeCell ref="A27:B27"/>
    <mergeCell ref="C27:E27"/>
    <mergeCell ref="I2:N2"/>
  </mergeCells>
  <conditionalFormatting sqref="F3:F22">
    <cfRule type="expression" dxfId="67" priority="5">
      <formula>F3&lt;=SMALL($F$3:$F$22,8)</formula>
    </cfRule>
  </conditionalFormatting>
  <conditionalFormatting sqref="N4:N22">
    <cfRule type="expression" dxfId="66" priority="1">
      <formula>N4&lt;=SMALL($F$3:$F$22,8)</formula>
    </cfRule>
  </conditionalFormatting>
  <hyperlinks>
    <hyperlink ref="C27" r:id="rId1" xr:uid="{47F22FD2-B6C0-4830-8D2A-FCCDC4A6F87A}"/>
  </hyperlinks>
  <pageMargins left="0.7" right="0.7" top="0.75" bottom="0.75" header="0" footer="0"/>
  <pageSetup orientation="portrait" r:id="rId2"/>
  <headerFooter>
    <oddFooter>&amp;C_x000D_&amp;1#&amp;"Calibri"&amp;10&amp;K000000 OFFICIAL</oddFooter>
  </headerFooter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3E4F-B556-44F9-A697-46F272ED8FDE}">
  <dimension ref="A1:Z995"/>
  <sheetViews>
    <sheetView workbookViewId="0">
      <selection activeCell="B1" sqref="B1"/>
    </sheetView>
  </sheetViews>
  <sheetFormatPr defaultColWidth="14.42578125" defaultRowHeight="15" customHeight="1"/>
  <cols>
    <col min="1" max="1" width="22.7109375" style="59" customWidth="1"/>
    <col min="2" max="6" width="18" style="59" customWidth="1"/>
    <col min="7" max="7" width="5.7109375" style="59" customWidth="1"/>
    <col min="8" max="8" width="6" style="59" customWidth="1"/>
    <col min="9" max="9" width="12.5703125" style="59" customWidth="1"/>
    <col min="10" max="13" width="18" style="59" customWidth="1"/>
    <col min="14" max="14" width="9" style="59" customWidth="1"/>
    <col min="15" max="26" width="18" style="59" customWidth="1"/>
    <col min="27" max="16384" width="14.42578125" style="59"/>
  </cols>
  <sheetData>
    <row r="1" spans="1:26" ht="21" customHeight="1" thickTop="1" thickBot="1">
      <c r="A1" s="132" t="s">
        <v>60</v>
      </c>
      <c r="B1" s="147">
        <f ca="1">AVERAGE(SMALL(INDIRECT("F3:F22"),1),SMALL(INDIRECT("F3:F22"),2),SMALL(INDIRECT("F3:F22"),3),SMALL(INDIRECT("F3:F22"),4),SMALL(INDIRECT("F3:F22"),5), SMALL(INDIRECT("F3:F22"),6),SMALL(INDIRECT("F3:F22"),7),SMALL(INDIRECT("F3:F22"),8))</f>
        <v>16.67398703777819</v>
      </c>
      <c r="C1" s="133" t="s">
        <v>61</v>
      </c>
      <c r="D1" s="134">
        <f>AVERAGE(C3:C22)</f>
        <v>95.6</v>
      </c>
      <c r="E1" s="133" t="s">
        <v>62</v>
      </c>
      <c r="F1" s="135">
        <f ca="1">ROUNDDOWN(AVERAGE(SMALL(INDIRECT("c3:c22"),1),SMALL(INDIRECT("c3:c22"),2),SMALL(INDIRECT("c3:c22"),3),SMALL(INDIRECT("c3:c22"),4),SMALL(INDIRECT("c3:c22"),5), SMALL(INDIRECT("c3:c22"),6),SMALL(INDIRECT("c3:c22"),7),SMALL(INDIRECT("c3:c22"),8)),1)</f>
        <v>90.6</v>
      </c>
      <c r="G1" s="58"/>
    </row>
    <row r="2" spans="1:26" ht="21" customHeight="1" thickTop="1" thickBot="1">
      <c r="A2" s="60" t="s">
        <v>19</v>
      </c>
      <c r="B2" s="60" t="s">
        <v>20</v>
      </c>
      <c r="C2" s="60" t="s">
        <v>63</v>
      </c>
      <c r="D2" s="60" t="s">
        <v>64</v>
      </c>
      <c r="E2" s="60" t="s">
        <v>65</v>
      </c>
      <c r="F2" s="61" t="s">
        <v>66</v>
      </c>
      <c r="G2" s="60"/>
      <c r="I2" s="283" t="s">
        <v>67</v>
      </c>
      <c r="J2" s="283"/>
      <c r="K2" s="283"/>
      <c r="L2" s="283"/>
      <c r="M2" s="283"/>
      <c r="N2" s="283"/>
    </row>
    <row r="3" spans="1:26" ht="21" customHeight="1">
      <c r="A3" s="232">
        <v>45671</v>
      </c>
      <c r="B3" s="233" t="s">
        <v>68</v>
      </c>
      <c r="C3" s="233">
        <v>95</v>
      </c>
      <c r="D3" s="233">
        <v>71</v>
      </c>
      <c r="E3" s="233">
        <v>130</v>
      </c>
      <c r="F3" s="75">
        <f t="shared" ref="F3:F22" si="0">(((C3-G3)-D3)*113)/E3</f>
        <v>20.861538461538462</v>
      </c>
      <c r="G3" s="58"/>
      <c r="I3" s="177">
        <v>44986</v>
      </c>
      <c r="J3" s="178" t="s">
        <v>69</v>
      </c>
      <c r="K3" s="178">
        <v>101</v>
      </c>
      <c r="L3" s="178">
        <v>70</v>
      </c>
      <c r="M3" s="178">
        <v>133</v>
      </c>
      <c r="N3" s="179">
        <v>26.338345864661655</v>
      </c>
    </row>
    <row r="4" spans="1:26" ht="21" customHeight="1">
      <c r="A4" s="64">
        <v>45709</v>
      </c>
      <c r="B4" s="62" t="s">
        <v>70</v>
      </c>
      <c r="C4" s="62">
        <v>89</v>
      </c>
      <c r="D4" s="62">
        <v>72</v>
      </c>
      <c r="E4" s="62">
        <v>139</v>
      </c>
      <c r="F4" s="76">
        <f t="shared" si="0"/>
        <v>13.820143884892087</v>
      </c>
      <c r="G4" s="58"/>
      <c r="I4" s="188">
        <v>45022</v>
      </c>
      <c r="J4" s="189" t="s">
        <v>71</v>
      </c>
      <c r="K4" s="189">
        <v>91</v>
      </c>
      <c r="L4" s="189">
        <v>69</v>
      </c>
      <c r="M4" s="189">
        <v>119</v>
      </c>
      <c r="N4" s="190">
        <v>20.890756302521009</v>
      </c>
    </row>
    <row r="5" spans="1:26" ht="21" customHeight="1">
      <c r="A5" s="64">
        <v>45730</v>
      </c>
      <c r="B5" s="62" t="s">
        <v>70</v>
      </c>
      <c r="C5" s="62">
        <v>90</v>
      </c>
      <c r="D5" s="62">
        <v>72</v>
      </c>
      <c r="E5" s="62">
        <v>139</v>
      </c>
      <c r="F5" s="76">
        <f t="shared" si="0"/>
        <v>14.633093525179856</v>
      </c>
      <c r="G5" s="58"/>
      <c r="H5" s="77"/>
      <c r="I5" s="197">
        <v>45036</v>
      </c>
      <c r="J5" s="198" t="s">
        <v>39</v>
      </c>
      <c r="K5" s="198">
        <v>95</v>
      </c>
      <c r="L5" s="198">
        <v>70</v>
      </c>
      <c r="M5" s="198">
        <v>130</v>
      </c>
      <c r="N5" s="199">
        <v>21.73076923076923</v>
      </c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21" customHeight="1">
      <c r="A6" s="64">
        <v>45755</v>
      </c>
      <c r="B6" s="62" t="s">
        <v>59</v>
      </c>
      <c r="C6" s="62">
        <v>90</v>
      </c>
      <c r="D6" s="62">
        <v>70</v>
      </c>
      <c r="E6" s="62">
        <v>129</v>
      </c>
      <c r="F6" s="76">
        <f t="shared" si="0"/>
        <v>17.519379844961239</v>
      </c>
      <c r="G6" s="58"/>
      <c r="H6" s="77"/>
      <c r="I6" s="188">
        <v>45093</v>
      </c>
      <c r="J6" s="189" t="s">
        <v>72</v>
      </c>
      <c r="K6" s="189">
        <v>96</v>
      </c>
      <c r="L6" s="189">
        <v>70</v>
      </c>
      <c r="M6" s="189">
        <v>118</v>
      </c>
      <c r="N6" s="190">
        <v>24.898305084745761</v>
      </c>
    </row>
    <row r="7" spans="1:26" ht="21" customHeight="1">
      <c r="A7" s="64">
        <v>45792</v>
      </c>
      <c r="B7" s="62" t="s">
        <v>73</v>
      </c>
      <c r="C7" s="62">
        <v>93</v>
      </c>
      <c r="D7" s="62">
        <v>70</v>
      </c>
      <c r="E7" s="62">
        <v>126</v>
      </c>
      <c r="F7" s="76">
        <f t="shared" si="0"/>
        <v>20.626984126984127</v>
      </c>
      <c r="G7" s="58"/>
      <c r="H7" s="77"/>
      <c r="I7" s="197">
        <v>45141</v>
      </c>
      <c r="J7" s="198" t="s">
        <v>74</v>
      </c>
      <c r="K7" s="198">
        <v>105</v>
      </c>
      <c r="L7" s="198">
        <v>72</v>
      </c>
      <c r="M7" s="198">
        <v>124</v>
      </c>
      <c r="N7" s="199">
        <v>30.072580645161292</v>
      </c>
    </row>
    <row r="8" spans="1:26" ht="21" customHeight="1">
      <c r="A8" s="64">
        <v>45835</v>
      </c>
      <c r="B8" s="62" t="s">
        <v>75</v>
      </c>
      <c r="C8" s="62">
        <v>97</v>
      </c>
      <c r="D8" s="62">
        <v>71</v>
      </c>
      <c r="E8" s="62">
        <v>127</v>
      </c>
      <c r="F8" s="76">
        <f t="shared" si="0"/>
        <v>23.133858267716537</v>
      </c>
      <c r="G8" s="58"/>
      <c r="I8" s="188">
        <v>45170</v>
      </c>
      <c r="J8" s="189" t="s">
        <v>69</v>
      </c>
      <c r="K8" s="189">
        <v>98</v>
      </c>
      <c r="L8" s="189">
        <v>70</v>
      </c>
      <c r="M8" s="189">
        <v>133</v>
      </c>
      <c r="N8" s="190">
        <v>23.789473684210527</v>
      </c>
    </row>
    <row r="9" spans="1:26" ht="21" customHeight="1">
      <c r="A9" s="64">
        <v>45848</v>
      </c>
      <c r="B9" s="62" t="s">
        <v>29</v>
      </c>
      <c r="C9" s="62">
        <v>92</v>
      </c>
      <c r="D9" s="62">
        <v>72</v>
      </c>
      <c r="E9" s="62">
        <v>135</v>
      </c>
      <c r="F9" s="76">
        <f t="shared" si="0"/>
        <v>16.74074074074074</v>
      </c>
      <c r="G9" s="58"/>
      <c r="H9" s="77"/>
      <c r="I9" s="197">
        <v>45247</v>
      </c>
      <c r="J9" s="198" t="s">
        <v>76</v>
      </c>
      <c r="K9" s="198">
        <v>84</v>
      </c>
      <c r="L9" s="198">
        <v>69</v>
      </c>
      <c r="M9" s="198">
        <v>119</v>
      </c>
      <c r="N9" s="199">
        <v>14.243697478991596</v>
      </c>
    </row>
    <row r="10" spans="1:26" ht="21" customHeight="1">
      <c r="A10" s="64">
        <v>45897</v>
      </c>
      <c r="B10" s="62" t="s">
        <v>74</v>
      </c>
      <c r="C10" s="62">
        <v>98</v>
      </c>
      <c r="D10" s="62">
        <v>72</v>
      </c>
      <c r="E10" s="62">
        <v>124</v>
      </c>
      <c r="F10" s="76">
        <f t="shared" si="0"/>
        <v>23.693548387096776</v>
      </c>
      <c r="G10" s="58"/>
      <c r="H10" s="77"/>
      <c r="I10" s="188">
        <v>45281</v>
      </c>
      <c r="J10" s="189" t="s">
        <v>77</v>
      </c>
      <c r="K10" s="189">
        <v>102</v>
      </c>
      <c r="L10" s="189">
        <v>70</v>
      </c>
      <c r="M10" s="189">
        <v>136</v>
      </c>
      <c r="N10" s="190">
        <v>26.588235294117649</v>
      </c>
    </row>
    <row r="11" spans="1:26" ht="21" customHeight="1">
      <c r="A11" s="64">
        <v>45926</v>
      </c>
      <c r="B11" s="62" t="s">
        <v>78</v>
      </c>
      <c r="C11" s="62">
        <v>92</v>
      </c>
      <c r="D11" s="62">
        <v>72</v>
      </c>
      <c r="E11" s="62">
        <v>125</v>
      </c>
      <c r="F11" s="76">
        <f t="shared" si="0"/>
        <v>18.079999999999998</v>
      </c>
      <c r="G11" s="58"/>
      <c r="H11" s="77"/>
      <c r="I11" s="197">
        <v>45321</v>
      </c>
      <c r="J11" s="198" t="s">
        <v>34</v>
      </c>
      <c r="K11" s="198">
        <v>83</v>
      </c>
      <c r="L11" s="198">
        <v>70</v>
      </c>
      <c r="M11" s="198">
        <v>127</v>
      </c>
      <c r="N11" s="199">
        <v>11.566929133858268</v>
      </c>
    </row>
    <row r="12" spans="1:26" ht="21" customHeight="1">
      <c r="A12" s="64">
        <v>46049</v>
      </c>
      <c r="B12" s="62" t="s">
        <v>29</v>
      </c>
      <c r="C12" s="62">
        <v>97</v>
      </c>
      <c r="D12" s="62">
        <v>73</v>
      </c>
      <c r="E12" s="62">
        <v>135</v>
      </c>
      <c r="F12" s="256">
        <f t="shared" si="0"/>
        <v>20.088888888888889</v>
      </c>
      <c r="G12" s="58"/>
      <c r="I12" s="188">
        <v>45345</v>
      </c>
      <c r="J12" s="189" t="s">
        <v>29</v>
      </c>
      <c r="K12" s="189">
        <v>103</v>
      </c>
      <c r="L12" s="189">
        <v>72</v>
      </c>
      <c r="M12" s="189">
        <v>135</v>
      </c>
      <c r="N12" s="190">
        <v>25.94814814814815</v>
      </c>
    </row>
    <row r="13" spans="1:26" ht="21" customHeight="1">
      <c r="A13" s="64">
        <v>46150</v>
      </c>
      <c r="B13" s="62" t="s">
        <v>34</v>
      </c>
      <c r="C13" s="62">
        <v>90</v>
      </c>
      <c r="D13" s="62">
        <v>69</v>
      </c>
      <c r="E13" s="62">
        <v>128</v>
      </c>
      <c r="F13" s="76">
        <f t="shared" si="0"/>
        <v>18.5390625</v>
      </c>
      <c r="G13" s="58"/>
      <c r="I13" s="197">
        <v>45370</v>
      </c>
      <c r="J13" s="198" t="s">
        <v>73</v>
      </c>
      <c r="K13" s="198">
        <v>102</v>
      </c>
      <c r="L13" s="198">
        <v>70</v>
      </c>
      <c r="M13" s="198">
        <v>126</v>
      </c>
      <c r="N13" s="199">
        <v>28.698412698412699</v>
      </c>
    </row>
    <row r="14" spans="1:26" ht="21" customHeight="1">
      <c r="A14" s="223">
        <v>46174</v>
      </c>
      <c r="B14" s="60" t="s">
        <v>68</v>
      </c>
      <c r="C14" s="60">
        <v>92</v>
      </c>
      <c r="D14" s="60">
        <v>72</v>
      </c>
      <c r="E14" s="60">
        <v>128</v>
      </c>
      <c r="F14" s="76">
        <f t="shared" si="0"/>
        <v>17.65625</v>
      </c>
      <c r="G14" s="58"/>
      <c r="H14" s="77"/>
      <c r="I14" s="188">
        <v>45400</v>
      </c>
      <c r="J14" s="189" t="s">
        <v>70</v>
      </c>
      <c r="K14" s="189">
        <v>103</v>
      </c>
      <c r="L14" s="189">
        <v>72</v>
      </c>
      <c r="M14" s="189">
        <v>139</v>
      </c>
      <c r="N14" s="190">
        <v>25.201438848920862</v>
      </c>
    </row>
    <row r="15" spans="1:26" ht="21" customHeight="1">
      <c r="A15" s="64">
        <v>45428</v>
      </c>
      <c r="B15" s="62" t="s">
        <v>74</v>
      </c>
      <c r="C15" s="62">
        <v>90</v>
      </c>
      <c r="D15" s="62">
        <v>72</v>
      </c>
      <c r="E15" s="62">
        <v>124</v>
      </c>
      <c r="F15" s="76">
        <f t="shared" si="0"/>
        <v>16.403225806451612</v>
      </c>
      <c r="G15" s="58"/>
      <c r="H15" s="63"/>
      <c r="I15" s="197">
        <v>45428</v>
      </c>
      <c r="J15" s="198" t="s">
        <v>74</v>
      </c>
      <c r="K15" s="198">
        <v>90</v>
      </c>
      <c r="L15" s="198">
        <v>72</v>
      </c>
      <c r="M15" s="198">
        <v>124</v>
      </c>
      <c r="N15" s="199">
        <v>16.403225806451612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21" customHeight="1">
      <c r="A16" s="64">
        <v>45471</v>
      </c>
      <c r="B16" s="62" t="s">
        <v>59</v>
      </c>
      <c r="C16" s="62">
        <v>103</v>
      </c>
      <c r="D16" s="62">
        <v>70</v>
      </c>
      <c r="E16" s="62">
        <v>129</v>
      </c>
      <c r="F16" s="76">
        <f t="shared" si="0"/>
        <v>28.906976744186046</v>
      </c>
      <c r="G16" s="58"/>
      <c r="I16" s="188">
        <v>45471</v>
      </c>
      <c r="J16" s="189" t="s">
        <v>59</v>
      </c>
      <c r="K16" s="189">
        <v>103</v>
      </c>
      <c r="L16" s="189">
        <v>70</v>
      </c>
      <c r="M16" s="189">
        <v>129</v>
      </c>
      <c r="N16" s="190">
        <v>28.906976744186046</v>
      </c>
    </row>
    <row r="17" spans="1:14" ht="21" customHeight="1">
      <c r="A17" s="64">
        <v>45492</v>
      </c>
      <c r="B17" s="62" t="s">
        <v>76</v>
      </c>
      <c r="C17" s="62">
        <v>101</v>
      </c>
      <c r="D17" s="62">
        <v>71</v>
      </c>
      <c r="E17" s="62">
        <v>123</v>
      </c>
      <c r="F17" s="76">
        <f t="shared" si="0"/>
        <v>27.560975609756099</v>
      </c>
      <c r="G17" s="58"/>
      <c r="I17" s="197">
        <v>45492</v>
      </c>
      <c r="J17" s="198" t="s">
        <v>76</v>
      </c>
      <c r="K17" s="198">
        <v>101</v>
      </c>
      <c r="L17" s="198">
        <v>71</v>
      </c>
      <c r="M17" s="198">
        <v>123</v>
      </c>
      <c r="N17" s="199">
        <v>27.560975609756099</v>
      </c>
    </row>
    <row r="18" spans="1:14" ht="21" customHeight="1">
      <c r="A18" s="64">
        <v>45506</v>
      </c>
      <c r="B18" s="62" t="s">
        <v>75</v>
      </c>
      <c r="C18" s="62">
        <v>105</v>
      </c>
      <c r="D18" s="62">
        <v>71</v>
      </c>
      <c r="E18" s="62">
        <v>127</v>
      </c>
      <c r="F18" s="76">
        <f t="shared" si="0"/>
        <v>30.251968503937007</v>
      </c>
      <c r="G18" s="58"/>
      <c r="I18" s="188">
        <v>45506</v>
      </c>
      <c r="J18" s="189" t="s">
        <v>75</v>
      </c>
      <c r="K18" s="189">
        <v>105</v>
      </c>
      <c r="L18" s="189">
        <v>71</v>
      </c>
      <c r="M18" s="189">
        <v>127</v>
      </c>
      <c r="N18" s="190">
        <v>30.251968503937007</v>
      </c>
    </row>
    <row r="19" spans="1:14" ht="21" customHeight="1">
      <c r="A19" s="64">
        <v>45555</v>
      </c>
      <c r="B19" s="62" t="s">
        <v>68</v>
      </c>
      <c r="C19" s="62">
        <v>100</v>
      </c>
      <c r="D19" s="62">
        <v>71</v>
      </c>
      <c r="E19" s="62">
        <v>130</v>
      </c>
      <c r="F19" s="76">
        <f t="shared" si="0"/>
        <v>25.207692307692309</v>
      </c>
      <c r="G19" s="58"/>
      <c r="I19" s="197">
        <v>45555</v>
      </c>
      <c r="J19" s="198" t="s">
        <v>68</v>
      </c>
      <c r="K19" s="198">
        <v>100</v>
      </c>
      <c r="L19" s="198">
        <v>71</v>
      </c>
      <c r="M19" s="198">
        <v>130</v>
      </c>
      <c r="N19" s="199">
        <v>25.207692307692309</v>
      </c>
    </row>
    <row r="20" spans="1:14" ht="21" customHeight="1">
      <c r="A20" s="64">
        <v>45580</v>
      </c>
      <c r="B20" s="62" t="s">
        <v>70</v>
      </c>
      <c r="C20" s="62">
        <v>110</v>
      </c>
      <c r="D20" s="62">
        <v>72</v>
      </c>
      <c r="E20" s="62">
        <v>139</v>
      </c>
      <c r="F20" s="76">
        <f t="shared" si="0"/>
        <v>30.892086330935253</v>
      </c>
      <c r="G20" s="58"/>
      <c r="I20" s="188">
        <v>45580</v>
      </c>
      <c r="J20" s="189" t="s">
        <v>70</v>
      </c>
      <c r="K20" s="189">
        <v>110</v>
      </c>
      <c r="L20" s="189">
        <v>72</v>
      </c>
      <c r="M20" s="189">
        <v>139</v>
      </c>
      <c r="N20" s="190">
        <v>30.892086330935253</v>
      </c>
    </row>
    <row r="21" spans="1:14" ht="21" customHeight="1">
      <c r="A21" s="64">
        <v>45611</v>
      </c>
      <c r="B21" s="62" t="s">
        <v>76</v>
      </c>
      <c r="C21" s="62">
        <v>96</v>
      </c>
      <c r="D21" s="62">
        <v>71</v>
      </c>
      <c r="E21" s="62">
        <v>123</v>
      </c>
      <c r="F21" s="76">
        <f t="shared" si="0"/>
        <v>22.967479674796749</v>
      </c>
      <c r="G21" s="58"/>
      <c r="I21" s="197">
        <v>45611</v>
      </c>
      <c r="J21" s="198" t="s">
        <v>76</v>
      </c>
      <c r="K21" s="198">
        <v>96</v>
      </c>
      <c r="L21" s="198">
        <v>71</v>
      </c>
      <c r="M21" s="198">
        <v>123</v>
      </c>
      <c r="N21" s="199">
        <v>22.967479674796749</v>
      </c>
    </row>
    <row r="22" spans="1:14" ht="21" customHeight="1" thickBot="1">
      <c r="A22" s="64">
        <v>45631</v>
      </c>
      <c r="B22" s="62" t="s">
        <v>79</v>
      </c>
      <c r="C22" s="62">
        <v>92</v>
      </c>
      <c r="D22" s="62">
        <v>71</v>
      </c>
      <c r="E22" s="62">
        <v>125</v>
      </c>
      <c r="F22" s="76">
        <f t="shared" si="0"/>
        <v>18.984000000000002</v>
      </c>
      <c r="G22" s="58"/>
      <c r="I22" s="214">
        <v>45631</v>
      </c>
      <c r="J22" s="215" t="s">
        <v>79</v>
      </c>
      <c r="K22" s="215">
        <v>92</v>
      </c>
      <c r="L22" s="215">
        <v>71</v>
      </c>
      <c r="M22" s="215">
        <v>125</v>
      </c>
      <c r="N22" s="216">
        <v>18.984000000000002</v>
      </c>
    </row>
    <row r="23" spans="1:14" ht="21" customHeight="1">
      <c r="A23" s="64"/>
      <c r="B23" s="62"/>
      <c r="C23" s="62"/>
      <c r="D23" s="62"/>
      <c r="E23" s="62"/>
      <c r="F23" s="65"/>
      <c r="G23" s="58"/>
    </row>
    <row r="24" spans="1:14" ht="21" customHeight="1">
      <c r="A24" s="64"/>
      <c r="B24" s="62"/>
      <c r="C24" s="62"/>
      <c r="D24" s="282"/>
      <c r="E24" s="282"/>
      <c r="F24" s="282"/>
      <c r="G24" s="58"/>
    </row>
    <row r="25" spans="1:14" ht="21" customHeight="1">
      <c r="A25" s="64"/>
      <c r="B25" s="62"/>
      <c r="C25" s="62"/>
      <c r="D25" s="62"/>
      <c r="E25" s="62"/>
      <c r="F25" s="65"/>
      <c r="G25" s="58"/>
    </row>
    <row r="26" spans="1:14" ht="21" customHeight="1">
      <c r="A26" s="281" t="s">
        <v>80</v>
      </c>
      <c r="B26" s="286"/>
      <c r="C26" s="282" t="s">
        <v>81</v>
      </c>
      <c r="D26" s="282"/>
      <c r="E26" s="282"/>
      <c r="F26" s="66"/>
      <c r="G26" s="67"/>
    </row>
    <row r="27" spans="1:14" ht="21" customHeight="1">
      <c r="A27" s="64"/>
      <c r="B27" s="62"/>
      <c r="C27" s="62"/>
      <c r="D27" s="62"/>
      <c r="E27" s="62"/>
      <c r="F27" s="65"/>
      <c r="G27" s="58"/>
    </row>
    <row r="28" spans="1:14" ht="21" customHeight="1">
      <c r="A28" s="64"/>
      <c r="B28" s="62"/>
      <c r="C28" s="62"/>
      <c r="D28" s="62"/>
      <c r="E28" s="62"/>
      <c r="F28" s="65"/>
      <c r="G28" s="58"/>
    </row>
    <row r="29" spans="1:14" ht="21" customHeight="1">
      <c r="A29" s="58"/>
      <c r="B29" s="58"/>
      <c r="C29" s="58"/>
      <c r="D29" s="58"/>
      <c r="E29" s="58"/>
      <c r="F29" s="68"/>
      <c r="G29" s="58"/>
    </row>
    <row r="30" spans="1:14" ht="21" customHeight="1">
      <c r="A30" s="58"/>
      <c r="B30" s="58"/>
      <c r="C30" s="58"/>
      <c r="D30" s="58"/>
      <c r="E30" s="58"/>
      <c r="F30" s="68"/>
      <c r="G30" s="58"/>
    </row>
    <row r="31" spans="1:14" ht="21" customHeight="1">
      <c r="A31" s="58"/>
      <c r="B31" s="58"/>
      <c r="C31" s="58"/>
      <c r="D31" s="58"/>
      <c r="E31" s="58"/>
      <c r="F31" s="69"/>
      <c r="G31" s="58"/>
    </row>
    <row r="32" spans="1:14" ht="21" customHeight="1">
      <c r="A32" s="58"/>
      <c r="B32" s="58"/>
      <c r="C32" s="58"/>
      <c r="D32" s="58"/>
      <c r="E32" s="58"/>
      <c r="F32" s="69"/>
      <c r="G32" s="58"/>
    </row>
    <row r="33" spans="1:7" ht="21" customHeight="1">
      <c r="A33" s="58"/>
      <c r="B33" s="58"/>
      <c r="C33" s="58"/>
      <c r="D33" s="58"/>
      <c r="E33" s="58"/>
      <c r="F33" s="69"/>
      <c r="G33" s="58"/>
    </row>
    <row r="34" spans="1:7" ht="21" customHeight="1">
      <c r="A34" s="58"/>
      <c r="B34" s="58"/>
      <c r="C34" s="58"/>
      <c r="D34" s="58"/>
      <c r="E34" s="58"/>
      <c r="F34" s="69"/>
      <c r="G34" s="58"/>
    </row>
    <row r="35" spans="1:7" ht="21" customHeight="1">
      <c r="A35" s="58"/>
      <c r="B35" s="58"/>
      <c r="C35" s="58"/>
      <c r="D35" s="58"/>
      <c r="E35" s="58"/>
      <c r="F35" s="69"/>
      <c r="G35" s="58"/>
    </row>
    <row r="36" spans="1:7" ht="21" customHeight="1">
      <c r="A36" s="58"/>
      <c r="B36" s="58"/>
      <c r="C36" s="58"/>
      <c r="D36" s="58"/>
      <c r="E36" s="58"/>
      <c r="F36" s="69"/>
      <c r="G36" s="58"/>
    </row>
    <row r="37" spans="1:7" ht="21" customHeight="1">
      <c r="A37" s="58"/>
      <c r="B37" s="58"/>
      <c r="C37" s="58"/>
      <c r="D37" s="58"/>
      <c r="E37" s="58"/>
      <c r="F37" s="69"/>
      <c r="G37" s="58"/>
    </row>
    <row r="38" spans="1:7" ht="21" customHeight="1">
      <c r="A38" s="58"/>
      <c r="B38" s="58"/>
      <c r="C38" s="58"/>
      <c r="D38" s="58"/>
      <c r="E38" s="58"/>
      <c r="F38" s="69"/>
      <c r="G38" s="58"/>
    </row>
    <row r="39" spans="1:7" ht="21" customHeight="1">
      <c r="A39" s="58"/>
      <c r="B39" s="58"/>
      <c r="C39" s="58"/>
      <c r="D39" s="58"/>
      <c r="E39" s="58"/>
      <c r="F39" s="69"/>
      <c r="G39" s="58"/>
    </row>
    <row r="40" spans="1:7" ht="21" customHeight="1">
      <c r="A40" s="58"/>
      <c r="B40" s="58"/>
      <c r="C40" s="58"/>
      <c r="D40" s="58"/>
      <c r="E40" s="58"/>
      <c r="F40" s="69"/>
      <c r="G40" s="58"/>
    </row>
    <row r="41" spans="1:7" ht="21" customHeight="1">
      <c r="A41" s="58"/>
      <c r="B41" s="58"/>
      <c r="C41" s="58"/>
      <c r="D41" s="58"/>
      <c r="E41" s="58"/>
      <c r="F41" s="69"/>
      <c r="G41" s="58"/>
    </row>
    <row r="42" spans="1:7" ht="21" customHeight="1">
      <c r="A42" s="58"/>
      <c r="B42" s="58"/>
      <c r="C42" s="58"/>
      <c r="D42" s="58"/>
      <c r="E42" s="58"/>
      <c r="F42" s="69"/>
      <c r="G42" s="58"/>
    </row>
    <row r="43" spans="1:7" ht="21" customHeight="1">
      <c r="A43" s="58"/>
      <c r="B43" s="58"/>
      <c r="C43" s="58"/>
      <c r="D43" s="58"/>
      <c r="E43" s="58"/>
      <c r="F43" s="69"/>
      <c r="G43" s="58"/>
    </row>
    <row r="44" spans="1:7" ht="21" customHeight="1">
      <c r="A44" s="58"/>
      <c r="B44" s="58"/>
      <c r="C44" s="58"/>
      <c r="D44" s="58"/>
      <c r="E44" s="58"/>
      <c r="F44" s="69"/>
      <c r="G44" s="58"/>
    </row>
    <row r="45" spans="1:7" ht="21" customHeight="1">
      <c r="A45" s="58"/>
      <c r="B45" s="58"/>
      <c r="C45" s="58"/>
      <c r="D45" s="58"/>
      <c r="E45" s="58"/>
      <c r="F45" s="69"/>
      <c r="G45" s="58"/>
    </row>
    <row r="46" spans="1:7" ht="21" customHeight="1">
      <c r="A46" s="58"/>
      <c r="B46" s="58"/>
      <c r="C46" s="58"/>
      <c r="D46" s="58"/>
      <c r="E46" s="58"/>
      <c r="F46" s="69"/>
      <c r="G46" s="58"/>
    </row>
    <row r="47" spans="1:7" ht="21" customHeight="1">
      <c r="A47" s="58"/>
      <c r="B47" s="58"/>
      <c r="C47" s="58"/>
      <c r="D47" s="58"/>
      <c r="E47" s="58"/>
      <c r="F47" s="69"/>
      <c r="G47" s="58"/>
    </row>
    <row r="48" spans="1:7" ht="21" customHeight="1">
      <c r="A48" s="58"/>
      <c r="B48" s="58"/>
      <c r="C48" s="58"/>
      <c r="D48" s="58"/>
      <c r="E48" s="58"/>
      <c r="F48" s="69"/>
      <c r="G48" s="58"/>
    </row>
    <row r="49" spans="1:7" ht="21" customHeight="1">
      <c r="A49" s="58"/>
      <c r="B49" s="58"/>
      <c r="C49" s="58"/>
      <c r="D49" s="58"/>
      <c r="E49" s="58"/>
      <c r="F49" s="69"/>
      <c r="G49" s="58"/>
    </row>
    <row r="50" spans="1:7" ht="21" customHeight="1">
      <c r="A50" s="58"/>
      <c r="B50" s="58"/>
      <c r="C50" s="58"/>
      <c r="D50" s="58"/>
      <c r="E50" s="58"/>
      <c r="F50" s="69"/>
      <c r="G50" s="58"/>
    </row>
    <row r="51" spans="1:7" ht="21" customHeight="1">
      <c r="A51" s="58"/>
      <c r="B51" s="58"/>
      <c r="C51" s="58"/>
      <c r="D51" s="58"/>
      <c r="E51" s="58"/>
      <c r="F51" s="69"/>
      <c r="G51" s="58"/>
    </row>
    <row r="52" spans="1:7" ht="21" customHeight="1">
      <c r="A52" s="58"/>
      <c r="B52" s="58"/>
      <c r="C52" s="58"/>
      <c r="D52" s="58"/>
      <c r="E52" s="58"/>
      <c r="F52" s="69"/>
      <c r="G52" s="58"/>
    </row>
    <row r="53" spans="1:7" ht="21" customHeight="1">
      <c r="A53" s="58"/>
      <c r="B53" s="58"/>
      <c r="C53" s="58"/>
      <c r="D53" s="58"/>
      <c r="E53" s="58"/>
      <c r="F53" s="69"/>
      <c r="G53" s="58"/>
    </row>
    <row r="54" spans="1:7" ht="21" customHeight="1">
      <c r="A54" s="58"/>
      <c r="B54" s="58"/>
      <c r="C54" s="58"/>
      <c r="D54" s="58"/>
      <c r="E54" s="58"/>
      <c r="F54" s="69"/>
      <c r="G54" s="58"/>
    </row>
    <row r="55" spans="1:7" ht="21" customHeight="1">
      <c r="A55" s="58"/>
      <c r="B55" s="58"/>
      <c r="C55" s="58"/>
      <c r="D55" s="58"/>
      <c r="E55" s="58"/>
      <c r="F55" s="69"/>
      <c r="G55" s="58"/>
    </row>
    <row r="56" spans="1:7" ht="21" customHeight="1">
      <c r="A56" s="58"/>
      <c r="B56" s="58"/>
      <c r="C56" s="58"/>
      <c r="D56" s="58"/>
      <c r="E56" s="58"/>
      <c r="F56" s="69"/>
      <c r="G56" s="58"/>
    </row>
    <row r="57" spans="1:7" ht="21" customHeight="1">
      <c r="A57" s="58"/>
      <c r="B57" s="58"/>
      <c r="C57" s="58"/>
      <c r="D57" s="58"/>
      <c r="E57" s="58"/>
      <c r="F57" s="69"/>
      <c r="G57" s="58"/>
    </row>
    <row r="58" spans="1:7" ht="21" customHeight="1">
      <c r="A58" s="58"/>
      <c r="B58" s="58"/>
      <c r="C58" s="58"/>
      <c r="D58" s="58"/>
      <c r="E58" s="58"/>
      <c r="F58" s="69"/>
      <c r="G58" s="58"/>
    </row>
    <row r="59" spans="1:7" ht="21" customHeight="1">
      <c r="A59" s="58"/>
      <c r="B59" s="58"/>
      <c r="C59" s="58"/>
      <c r="D59" s="58"/>
      <c r="E59" s="58"/>
      <c r="F59" s="69"/>
      <c r="G59" s="58"/>
    </row>
    <row r="60" spans="1:7" ht="21" customHeight="1">
      <c r="A60" s="58"/>
      <c r="B60" s="58"/>
      <c r="C60" s="58"/>
      <c r="D60" s="58"/>
      <c r="E60" s="58"/>
      <c r="F60" s="69"/>
      <c r="G60" s="58"/>
    </row>
    <row r="61" spans="1:7" ht="21" customHeight="1">
      <c r="A61" s="58"/>
      <c r="B61" s="58"/>
      <c r="C61" s="58"/>
      <c r="D61" s="58"/>
      <c r="E61" s="58"/>
      <c r="F61" s="69"/>
      <c r="G61" s="58"/>
    </row>
    <row r="62" spans="1:7" ht="21" customHeight="1">
      <c r="A62" s="58"/>
      <c r="B62" s="58"/>
      <c r="C62" s="58"/>
      <c r="D62" s="58"/>
      <c r="E62" s="58"/>
      <c r="F62" s="69"/>
      <c r="G62" s="58"/>
    </row>
    <row r="63" spans="1:7" ht="21" customHeight="1">
      <c r="A63" s="58"/>
      <c r="B63" s="58"/>
      <c r="C63" s="58"/>
      <c r="D63" s="58"/>
      <c r="E63" s="58"/>
      <c r="F63" s="69"/>
      <c r="G63" s="58"/>
    </row>
    <row r="64" spans="1:7" ht="21" customHeight="1">
      <c r="A64" s="58"/>
      <c r="B64" s="58"/>
      <c r="C64" s="58"/>
      <c r="D64" s="58"/>
      <c r="E64" s="58"/>
      <c r="F64" s="69"/>
      <c r="G64" s="58"/>
    </row>
    <row r="65" spans="1:7" ht="21" customHeight="1">
      <c r="A65" s="58"/>
      <c r="B65" s="58"/>
      <c r="C65" s="58"/>
      <c r="D65" s="58"/>
      <c r="E65" s="58"/>
      <c r="F65" s="69"/>
      <c r="G65" s="58"/>
    </row>
    <row r="66" spans="1:7" ht="21" customHeight="1">
      <c r="A66" s="58"/>
      <c r="B66" s="58"/>
      <c r="C66" s="58"/>
      <c r="D66" s="58"/>
      <c r="E66" s="58"/>
      <c r="F66" s="69"/>
      <c r="G66" s="58"/>
    </row>
    <row r="67" spans="1:7" ht="21" customHeight="1">
      <c r="A67" s="58"/>
      <c r="B67" s="58"/>
      <c r="C67" s="58"/>
      <c r="D67" s="58"/>
      <c r="E67" s="58"/>
      <c r="F67" s="69"/>
      <c r="G67" s="58"/>
    </row>
    <row r="68" spans="1:7" ht="21" customHeight="1">
      <c r="A68" s="58"/>
      <c r="B68" s="58"/>
      <c r="C68" s="58"/>
      <c r="D68" s="58"/>
      <c r="E68" s="58"/>
      <c r="F68" s="69"/>
      <c r="G68" s="58"/>
    </row>
    <row r="69" spans="1:7" ht="21" customHeight="1">
      <c r="A69" s="58"/>
      <c r="B69" s="58"/>
      <c r="C69" s="58"/>
      <c r="D69" s="58"/>
      <c r="E69" s="58"/>
      <c r="F69" s="69"/>
      <c r="G69" s="58"/>
    </row>
    <row r="70" spans="1:7" ht="21" customHeight="1">
      <c r="A70" s="58"/>
      <c r="B70" s="58"/>
      <c r="C70" s="58"/>
      <c r="D70" s="58"/>
      <c r="E70" s="58"/>
      <c r="F70" s="69"/>
      <c r="G70" s="58"/>
    </row>
    <row r="71" spans="1:7" ht="21" customHeight="1">
      <c r="A71" s="58"/>
      <c r="B71" s="58"/>
      <c r="C71" s="58"/>
      <c r="D71" s="58"/>
      <c r="E71" s="58"/>
      <c r="F71" s="69"/>
      <c r="G71" s="58"/>
    </row>
    <row r="72" spans="1:7" ht="21" customHeight="1">
      <c r="A72" s="58"/>
      <c r="B72" s="58"/>
      <c r="C72" s="58"/>
      <c r="D72" s="58"/>
      <c r="E72" s="58"/>
      <c r="F72" s="69"/>
      <c r="G72" s="58"/>
    </row>
    <row r="73" spans="1:7" ht="21" customHeight="1">
      <c r="A73" s="58"/>
      <c r="B73" s="58"/>
      <c r="C73" s="58"/>
      <c r="D73" s="58"/>
      <c r="E73" s="58"/>
      <c r="F73" s="69"/>
      <c r="G73" s="58"/>
    </row>
    <row r="74" spans="1:7" ht="21" customHeight="1">
      <c r="A74" s="58"/>
      <c r="B74" s="58"/>
      <c r="C74" s="58"/>
      <c r="D74" s="58"/>
      <c r="E74" s="58"/>
      <c r="F74" s="69"/>
      <c r="G74" s="58"/>
    </row>
    <row r="75" spans="1:7" ht="21" customHeight="1">
      <c r="A75" s="58"/>
      <c r="B75" s="58"/>
      <c r="C75" s="58"/>
      <c r="D75" s="58"/>
      <c r="E75" s="58"/>
      <c r="F75" s="69"/>
      <c r="G75" s="58"/>
    </row>
    <row r="76" spans="1:7" ht="21" customHeight="1">
      <c r="A76" s="58"/>
      <c r="B76" s="58"/>
      <c r="C76" s="58"/>
      <c r="D76" s="58"/>
      <c r="E76" s="58"/>
      <c r="F76" s="69"/>
      <c r="G76" s="58"/>
    </row>
    <row r="77" spans="1:7" ht="21" customHeight="1">
      <c r="A77" s="58"/>
      <c r="B77" s="58"/>
      <c r="C77" s="58"/>
      <c r="D77" s="58"/>
      <c r="E77" s="58"/>
      <c r="F77" s="69"/>
      <c r="G77" s="58"/>
    </row>
    <row r="78" spans="1:7" ht="21" customHeight="1">
      <c r="A78" s="58"/>
      <c r="B78" s="58"/>
      <c r="C78" s="58"/>
      <c r="D78" s="58"/>
      <c r="E78" s="58"/>
      <c r="F78" s="69"/>
      <c r="G78" s="58"/>
    </row>
    <row r="79" spans="1:7" ht="21" customHeight="1">
      <c r="A79" s="58"/>
      <c r="B79" s="58"/>
      <c r="C79" s="58"/>
      <c r="D79" s="58"/>
      <c r="E79" s="58"/>
      <c r="F79" s="69"/>
      <c r="G79" s="58"/>
    </row>
    <row r="80" spans="1:7" ht="21" customHeight="1">
      <c r="A80" s="58"/>
      <c r="B80" s="58"/>
      <c r="C80" s="58"/>
      <c r="D80" s="58"/>
      <c r="E80" s="58"/>
      <c r="F80" s="69"/>
      <c r="G80" s="58"/>
    </row>
    <row r="81" spans="1:7" ht="21" customHeight="1">
      <c r="A81" s="58"/>
      <c r="B81" s="58"/>
      <c r="C81" s="58"/>
      <c r="D81" s="58"/>
      <c r="E81" s="58"/>
      <c r="F81" s="69"/>
      <c r="G81" s="58"/>
    </row>
    <row r="82" spans="1:7" ht="21" customHeight="1">
      <c r="A82" s="58"/>
      <c r="B82" s="58"/>
      <c r="C82" s="58"/>
      <c r="D82" s="58"/>
      <c r="E82" s="58"/>
      <c r="F82" s="69"/>
      <c r="G82" s="58"/>
    </row>
    <row r="83" spans="1:7" ht="21" customHeight="1">
      <c r="A83" s="58"/>
      <c r="B83" s="58"/>
      <c r="C83" s="58"/>
      <c r="D83" s="58"/>
      <c r="E83" s="58"/>
      <c r="F83" s="69"/>
      <c r="G83" s="58"/>
    </row>
    <row r="84" spans="1:7" ht="21" customHeight="1">
      <c r="A84" s="58"/>
      <c r="B84" s="58"/>
      <c r="C84" s="58"/>
      <c r="D84" s="58"/>
      <c r="E84" s="58"/>
      <c r="F84" s="69"/>
      <c r="G84" s="58"/>
    </row>
    <row r="85" spans="1:7" ht="21" customHeight="1">
      <c r="A85" s="58"/>
      <c r="B85" s="58"/>
      <c r="C85" s="58"/>
      <c r="D85" s="58"/>
      <c r="E85" s="58"/>
      <c r="F85" s="69"/>
      <c r="G85" s="58"/>
    </row>
    <row r="86" spans="1:7" ht="21" customHeight="1">
      <c r="A86" s="58"/>
      <c r="B86" s="58"/>
      <c r="C86" s="58"/>
      <c r="D86" s="58"/>
      <c r="E86" s="58"/>
      <c r="F86" s="69"/>
      <c r="G86" s="58"/>
    </row>
    <row r="87" spans="1:7" ht="21" customHeight="1">
      <c r="A87" s="58"/>
      <c r="B87" s="58"/>
      <c r="C87" s="58"/>
      <c r="D87" s="58"/>
      <c r="E87" s="58"/>
      <c r="F87" s="69"/>
      <c r="G87" s="58"/>
    </row>
    <row r="88" spans="1:7" ht="21" customHeight="1">
      <c r="A88" s="58"/>
      <c r="B88" s="58"/>
      <c r="C88" s="58"/>
      <c r="D88" s="58"/>
      <c r="E88" s="58"/>
      <c r="F88" s="69"/>
      <c r="G88" s="58"/>
    </row>
    <row r="89" spans="1:7" ht="21" customHeight="1">
      <c r="A89" s="58"/>
      <c r="B89" s="58"/>
      <c r="C89" s="58"/>
      <c r="D89" s="58"/>
      <c r="E89" s="58"/>
      <c r="F89" s="69"/>
      <c r="G89" s="58"/>
    </row>
    <row r="90" spans="1:7" ht="21" customHeight="1">
      <c r="A90" s="58"/>
      <c r="B90" s="58"/>
      <c r="C90" s="58"/>
      <c r="D90" s="58"/>
      <c r="E90" s="58"/>
      <c r="F90" s="69"/>
      <c r="G90" s="58"/>
    </row>
    <row r="91" spans="1:7" ht="21" customHeight="1">
      <c r="A91" s="58"/>
      <c r="B91" s="58"/>
      <c r="C91" s="58"/>
      <c r="D91" s="58"/>
      <c r="E91" s="58"/>
      <c r="F91" s="69"/>
      <c r="G91" s="58"/>
    </row>
    <row r="92" spans="1:7" ht="21" customHeight="1">
      <c r="A92" s="58"/>
      <c r="B92" s="58"/>
      <c r="C92" s="58"/>
      <c r="D92" s="58"/>
      <c r="E92" s="58"/>
      <c r="F92" s="69"/>
      <c r="G92" s="58"/>
    </row>
    <row r="93" spans="1:7" ht="21" customHeight="1">
      <c r="A93" s="58"/>
      <c r="B93" s="58"/>
      <c r="C93" s="58"/>
      <c r="D93" s="58"/>
      <c r="E93" s="58"/>
      <c r="F93" s="69"/>
      <c r="G93" s="58"/>
    </row>
    <row r="94" spans="1:7" ht="21" customHeight="1">
      <c r="A94" s="58"/>
      <c r="B94" s="58"/>
      <c r="C94" s="58"/>
      <c r="D94" s="58"/>
      <c r="E94" s="58"/>
      <c r="F94" s="69"/>
      <c r="G94" s="58"/>
    </row>
    <row r="95" spans="1:7" ht="21" customHeight="1">
      <c r="A95" s="58"/>
      <c r="B95" s="58"/>
      <c r="C95" s="58"/>
      <c r="D95" s="58"/>
      <c r="E95" s="58"/>
      <c r="F95" s="69"/>
      <c r="G95" s="58"/>
    </row>
    <row r="96" spans="1:7" ht="21" customHeight="1">
      <c r="A96" s="58"/>
      <c r="B96" s="58"/>
      <c r="C96" s="58"/>
      <c r="D96" s="58"/>
      <c r="E96" s="58"/>
      <c r="F96" s="69"/>
      <c r="G96" s="58"/>
    </row>
    <row r="97" spans="1:7" ht="21" customHeight="1">
      <c r="A97" s="58"/>
      <c r="B97" s="58"/>
      <c r="C97" s="58"/>
      <c r="D97" s="58"/>
      <c r="E97" s="58"/>
      <c r="F97" s="69"/>
      <c r="G97" s="58"/>
    </row>
    <row r="98" spans="1:7" ht="21" customHeight="1">
      <c r="A98" s="58"/>
      <c r="B98" s="58"/>
      <c r="C98" s="58"/>
      <c r="D98" s="58"/>
      <c r="E98" s="58"/>
      <c r="F98" s="69"/>
      <c r="G98" s="58"/>
    </row>
    <row r="99" spans="1:7" ht="21" customHeight="1">
      <c r="A99" s="58"/>
      <c r="B99" s="58"/>
      <c r="C99" s="58"/>
      <c r="D99" s="58"/>
      <c r="E99" s="58"/>
      <c r="F99" s="69"/>
      <c r="G99" s="58"/>
    </row>
    <row r="100" spans="1:7" ht="21" customHeight="1">
      <c r="A100" s="58"/>
      <c r="B100" s="58"/>
      <c r="C100" s="58"/>
      <c r="D100" s="58"/>
      <c r="E100" s="58"/>
      <c r="F100" s="69"/>
      <c r="G100" s="58"/>
    </row>
    <row r="101" spans="1:7" ht="21" customHeight="1">
      <c r="A101" s="58"/>
      <c r="B101" s="58"/>
      <c r="C101" s="58"/>
      <c r="D101" s="58"/>
      <c r="E101" s="58"/>
      <c r="F101" s="69"/>
      <c r="G101" s="58"/>
    </row>
    <row r="102" spans="1:7" ht="21" customHeight="1">
      <c r="A102" s="58"/>
      <c r="B102" s="58"/>
      <c r="C102" s="58"/>
      <c r="D102" s="58"/>
      <c r="E102" s="58"/>
      <c r="F102" s="69"/>
      <c r="G102" s="58"/>
    </row>
    <row r="103" spans="1:7" ht="21" customHeight="1">
      <c r="A103" s="58"/>
      <c r="B103" s="58"/>
      <c r="C103" s="58"/>
      <c r="D103" s="58"/>
      <c r="E103" s="58"/>
      <c r="F103" s="69"/>
      <c r="G103" s="58"/>
    </row>
    <row r="104" spans="1:7" ht="21" customHeight="1">
      <c r="A104" s="58"/>
      <c r="B104" s="58"/>
      <c r="C104" s="58"/>
      <c r="D104" s="58"/>
      <c r="E104" s="58"/>
      <c r="F104" s="69"/>
      <c r="G104" s="58"/>
    </row>
    <row r="105" spans="1:7" ht="21" customHeight="1">
      <c r="A105" s="58"/>
      <c r="B105" s="58"/>
      <c r="C105" s="58"/>
      <c r="D105" s="58"/>
      <c r="E105" s="58"/>
      <c r="F105" s="69"/>
      <c r="G105" s="58"/>
    </row>
    <row r="106" spans="1:7" ht="21" customHeight="1">
      <c r="A106" s="58"/>
      <c r="B106" s="58"/>
      <c r="C106" s="58"/>
      <c r="D106" s="58"/>
      <c r="E106" s="58"/>
      <c r="F106" s="69"/>
      <c r="G106" s="58"/>
    </row>
    <row r="107" spans="1:7" ht="21" customHeight="1">
      <c r="A107" s="58"/>
      <c r="B107" s="58"/>
      <c r="C107" s="58"/>
      <c r="D107" s="58"/>
      <c r="E107" s="58"/>
      <c r="F107" s="69"/>
      <c r="G107" s="58"/>
    </row>
    <row r="108" spans="1:7" ht="21" customHeight="1">
      <c r="A108" s="58"/>
      <c r="B108" s="58"/>
      <c r="C108" s="58"/>
      <c r="D108" s="58"/>
      <c r="E108" s="58"/>
      <c r="F108" s="69"/>
      <c r="G108" s="58"/>
    </row>
    <row r="109" spans="1:7" ht="21" customHeight="1">
      <c r="A109" s="58"/>
      <c r="B109" s="58"/>
      <c r="C109" s="58"/>
      <c r="D109" s="58"/>
      <c r="E109" s="58"/>
      <c r="F109" s="69"/>
      <c r="G109" s="58"/>
    </row>
    <row r="110" spans="1:7" ht="21" customHeight="1">
      <c r="A110" s="58"/>
      <c r="B110" s="58"/>
      <c r="C110" s="58"/>
      <c r="D110" s="58"/>
      <c r="E110" s="58"/>
      <c r="F110" s="69"/>
      <c r="G110" s="58"/>
    </row>
    <row r="111" spans="1:7" ht="21" customHeight="1">
      <c r="A111" s="58"/>
      <c r="B111" s="58"/>
      <c r="C111" s="58"/>
      <c r="D111" s="58"/>
      <c r="E111" s="58"/>
      <c r="F111" s="69"/>
      <c r="G111" s="58"/>
    </row>
    <row r="112" spans="1:7" ht="21" customHeight="1">
      <c r="A112" s="58"/>
      <c r="B112" s="58"/>
      <c r="C112" s="58"/>
      <c r="D112" s="58"/>
      <c r="E112" s="58"/>
      <c r="F112" s="69"/>
      <c r="G112" s="58"/>
    </row>
    <row r="113" spans="1:7" ht="21" customHeight="1">
      <c r="A113" s="58"/>
      <c r="B113" s="58"/>
      <c r="C113" s="58"/>
      <c r="D113" s="58"/>
      <c r="E113" s="58"/>
      <c r="F113" s="69"/>
      <c r="G113" s="58"/>
    </row>
    <row r="114" spans="1:7" ht="21" customHeight="1">
      <c r="A114" s="58"/>
      <c r="B114" s="58"/>
      <c r="C114" s="58"/>
      <c r="D114" s="58"/>
      <c r="E114" s="58"/>
      <c r="F114" s="69"/>
      <c r="G114" s="58"/>
    </row>
    <row r="115" spans="1:7" ht="21" customHeight="1">
      <c r="A115" s="58"/>
      <c r="B115" s="58"/>
      <c r="C115" s="58"/>
      <c r="D115" s="58"/>
      <c r="E115" s="58"/>
      <c r="F115" s="69"/>
      <c r="G115" s="58"/>
    </row>
    <row r="116" spans="1:7" ht="21" customHeight="1">
      <c r="A116" s="58"/>
      <c r="B116" s="58"/>
      <c r="C116" s="58"/>
      <c r="D116" s="58"/>
      <c r="E116" s="58"/>
      <c r="F116" s="69"/>
      <c r="G116" s="58"/>
    </row>
    <row r="117" spans="1:7" ht="21" customHeight="1">
      <c r="A117" s="58"/>
      <c r="B117" s="58"/>
      <c r="C117" s="58"/>
      <c r="D117" s="58"/>
      <c r="E117" s="58"/>
      <c r="F117" s="69"/>
      <c r="G117" s="58"/>
    </row>
    <row r="118" spans="1:7" ht="21" customHeight="1">
      <c r="A118" s="58"/>
      <c r="B118" s="58"/>
      <c r="C118" s="58"/>
      <c r="D118" s="58"/>
      <c r="E118" s="58"/>
      <c r="F118" s="69"/>
      <c r="G118" s="58"/>
    </row>
    <row r="119" spans="1:7" ht="21" customHeight="1">
      <c r="A119" s="58"/>
      <c r="B119" s="58"/>
      <c r="C119" s="58"/>
      <c r="D119" s="58"/>
      <c r="E119" s="58"/>
      <c r="F119" s="69"/>
      <c r="G119" s="58"/>
    </row>
    <row r="120" spans="1:7" ht="21" customHeight="1">
      <c r="A120" s="58"/>
      <c r="B120" s="58"/>
      <c r="C120" s="58"/>
      <c r="D120" s="58"/>
      <c r="E120" s="58"/>
      <c r="F120" s="69"/>
      <c r="G120" s="58"/>
    </row>
    <row r="121" spans="1:7" ht="21" customHeight="1">
      <c r="A121" s="58"/>
      <c r="B121" s="58"/>
      <c r="C121" s="58"/>
      <c r="D121" s="58"/>
      <c r="E121" s="58"/>
      <c r="F121" s="69"/>
      <c r="G121" s="58"/>
    </row>
    <row r="122" spans="1:7" ht="21" customHeight="1">
      <c r="A122" s="58"/>
      <c r="B122" s="58"/>
      <c r="C122" s="58"/>
      <c r="D122" s="58"/>
      <c r="E122" s="58"/>
      <c r="F122" s="69"/>
      <c r="G122" s="58"/>
    </row>
    <row r="123" spans="1:7" ht="21" customHeight="1">
      <c r="A123" s="58"/>
      <c r="B123" s="58"/>
      <c r="C123" s="58"/>
      <c r="D123" s="58"/>
      <c r="E123" s="58"/>
      <c r="F123" s="69"/>
      <c r="G123" s="58"/>
    </row>
    <row r="124" spans="1:7" ht="21" customHeight="1">
      <c r="A124" s="58"/>
      <c r="B124" s="58"/>
      <c r="C124" s="58"/>
      <c r="D124" s="58"/>
      <c r="E124" s="58"/>
      <c r="F124" s="69"/>
      <c r="G124" s="58"/>
    </row>
    <row r="125" spans="1:7" ht="21" customHeight="1">
      <c r="A125" s="58"/>
      <c r="B125" s="58"/>
      <c r="C125" s="58"/>
      <c r="D125" s="58"/>
      <c r="E125" s="58"/>
      <c r="F125" s="69"/>
      <c r="G125" s="58"/>
    </row>
    <row r="126" spans="1:7" ht="21" customHeight="1">
      <c r="A126" s="58"/>
      <c r="B126" s="58"/>
      <c r="C126" s="58"/>
      <c r="D126" s="58"/>
      <c r="E126" s="58"/>
      <c r="F126" s="69"/>
      <c r="G126" s="58"/>
    </row>
    <row r="127" spans="1:7" ht="21" customHeight="1">
      <c r="A127" s="58"/>
      <c r="B127" s="58"/>
      <c r="C127" s="58"/>
      <c r="D127" s="58"/>
      <c r="E127" s="58"/>
      <c r="F127" s="69"/>
      <c r="G127" s="58"/>
    </row>
    <row r="128" spans="1:7" ht="21" customHeight="1">
      <c r="A128" s="58"/>
      <c r="B128" s="58"/>
      <c r="C128" s="58"/>
      <c r="D128" s="58"/>
      <c r="E128" s="58"/>
      <c r="F128" s="69"/>
      <c r="G128" s="58"/>
    </row>
    <row r="129" spans="1:7" ht="21" customHeight="1">
      <c r="A129" s="58"/>
      <c r="B129" s="58"/>
      <c r="C129" s="58"/>
      <c r="D129" s="58"/>
      <c r="E129" s="58"/>
      <c r="F129" s="69"/>
      <c r="G129" s="58"/>
    </row>
    <row r="130" spans="1:7" ht="21" customHeight="1">
      <c r="A130" s="58"/>
      <c r="B130" s="58"/>
      <c r="C130" s="58"/>
      <c r="D130" s="58"/>
      <c r="E130" s="58"/>
      <c r="F130" s="69"/>
      <c r="G130" s="58"/>
    </row>
    <row r="131" spans="1:7" ht="21" customHeight="1">
      <c r="A131" s="58"/>
      <c r="B131" s="58"/>
      <c r="C131" s="58"/>
      <c r="D131" s="58"/>
      <c r="E131" s="58"/>
      <c r="F131" s="69"/>
      <c r="G131" s="58"/>
    </row>
    <row r="132" spans="1:7" ht="21" customHeight="1">
      <c r="A132" s="58"/>
      <c r="B132" s="58"/>
      <c r="C132" s="58"/>
      <c r="D132" s="58"/>
      <c r="E132" s="58"/>
      <c r="F132" s="69"/>
      <c r="G132" s="58"/>
    </row>
    <row r="133" spans="1:7" ht="21" customHeight="1">
      <c r="A133" s="58"/>
      <c r="B133" s="58"/>
      <c r="C133" s="58"/>
      <c r="D133" s="58"/>
      <c r="E133" s="58"/>
      <c r="F133" s="69"/>
      <c r="G133" s="58"/>
    </row>
    <row r="134" spans="1:7" ht="21" customHeight="1">
      <c r="A134" s="58"/>
      <c r="B134" s="58"/>
      <c r="C134" s="58"/>
      <c r="D134" s="58"/>
      <c r="E134" s="58"/>
      <c r="F134" s="69"/>
      <c r="G134" s="58"/>
    </row>
    <row r="135" spans="1:7" ht="21" customHeight="1">
      <c r="A135" s="58"/>
      <c r="B135" s="58"/>
      <c r="C135" s="58"/>
      <c r="D135" s="58"/>
      <c r="E135" s="58"/>
      <c r="F135" s="69"/>
      <c r="G135" s="58"/>
    </row>
    <row r="136" spans="1:7" ht="21" customHeight="1">
      <c r="A136" s="58"/>
      <c r="B136" s="58"/>
      <c r="C136" s="58"/>
      <c r="D136" s="58"/>
      <c r="E136" s="58"/>
      <c r="F136" s="69"/>
      <c r="G136" s="58"/>
    </row>
    <row r="137" spans="1:7" ht="21" customHeight="1">
      <c r="A137" s="58"/>
      <c r="B137" s="58"/>
      <c r="C137" s="58"/>
      <c r="D137" s="58"/>
      <c r="E137" s="58"/>
      <c r="F137" s="69"/>
      <c r="G137" s="58"/>
    </row>
    <row r="138" spans="1:7" ht="21" customHeight="1">
      <c r="A138" s="58"/>
      <c r="B138" s="58"/>
      <c r="C138" s="58"/>
      <c r="D138" s="58"/>
      <c r="E138" s="58"/>
      <c r="F138" s="69"/>
      <c r="G138" s="58"/>
    </row>
    <row r="139" spans="1:7" ht="21" customHeight="1">
      <c r="A139" s="58"/>
      <c r="B139" s="58"/>
      <c r="C139" s="58"/>
      <c r="D139" s="58"/>
      <c r="E139" s="58"/>
      <c r="F139" s="69"/>
      <c r="G139" s="58"/>
    </row>
    <row r="140" spans="1:7" ht="21" customHeight="1">
      <c r="A140" s="58"/>
      <c r="B140" s="58"/>
      <c r="C140" s="58"/>
      <c r="D140" s="58"/>
      <c r="E140" s="58"/>
      <c r="F140" s="69"/>
      <c r="G140" s="58"/>
    </row>
    <row r="141" spans="1:7" ht="21" customHeight="1">
      <c r="A141" s="58"/>
      <c r="B141" s="58"/>
      <c r="C141" s="58"/>
      <c r="D141" s="58"/>
      <c r="E141" s="58"/>
      <c r="F141" s="69"/>
      <c r="G141" s="58"/>
    </row>
    <row r="142" spans="1:7" ht="21" customHeight="1">
      <c r="A142" s="58"/>
      <c r="B142" s="58"/>
      <c r="C142" s="58"/>
      <c r="D142" s="58"/>
      <c r="E142" s="58"/>
      <c r="F142" s="69"/>
      <c r="G142" s="58"/>
    </row>
    <row r="143" spans="1:7" ht="21" customHeight="1">
      <c r="A143" s="58"/>
      <c r="B143" s="58"/>
      <c r="C143" s="58"/>
      <c r="D143" s="58"/>
      <c r="E143" s="58"/>
      <c r="F143" s="69"/>
      <c r="G143" s="58"/>
    </row>
    <row r="144" spans="1:7" ht="21" customHeight="1">
      <c r="A144" s="58"/>
      <c r="B144" s="58"/>
      <c r="C144" s="58"/>
      <c r="D144" s="58"/>
      <c r="E144" s="58"/>
      <c r="F144" s="69"/>
      <c r="G144" s="58"/>
    </row>
    <row r="145" spans="1:7" ht="21" customHeight="1">
      <c r="A145" s="58"/>
      <c r="B145" s="58"/>
      <c r="C145" s="58"/>
      <c r="D145" s="58"/>
      <c r="E145" s="58"/>
      <c r="F145" s="69"/>
      <c r="G145" s="58"/>
    </row>
    <row r="146" spans="1:7" ht="21" customHeight="1">
      <c r="A146" s="58"/>
      <c r="B146" s="58"/>
      <c r="C146" s="58"/>
      <c r="D146" s="58"/>
      <c r="E146" s="58"/>
      <c r="F146" s="69"/>
      <c r="G146" s="58"/>
    </row>
    <row r="147" spans="1:7" ht="21" customHeight="1">
      <c r="A147" s="58"/>
      <c r="B147" s="58"/>
      <c r="C147" s="58"/>
      <c r="D147" s="58"/>
      <c r="E147" s="58"/>
      <c r="F147" s="69"/>
      <c r="G147" s="58"/>
    </row>
    <row r="148" spans="1:7" ht="21" customHeight="1">
      <c r="A148" s="58"/>
      <c r="B148" s="58"/>
      <c r="C148" s="58"/>
      <c r="D148" s="58"/>
      <c r="E148" s="58"/>
      <c r="F148" s="69"/>
      <c r="G148" s="58"/>
    </row>
    <row r="149" spans="1:7" ht="21" customHeight="1">
      <c r="A149" s="58"/>
      <c r="B149" s="58"/>
      <c r="C149" s="58"/>
      <c r="D149" s="58"/>
      <c r="E149" s="58"/>
      <c r="F149" s="69"/>
      <c r="G149" s="58"/>
    </row>
    <row r="150" spans="1:7" ht="21" customHeight="1">
      <c r="A150" s="58"/>
      <c r="B150" s="58"/>
      <c r="C150" s="58"/>
      <c r="D150" s="58"/>
      <c r="E150" s="58"/>
      <c r="F150" s="69"/>
      <c r="G150" s="58"/>
    </row>
    <row r="151" spans="1:7" ht="21" customHeight="1">
      <c r="A151" s="58"/>
      <c r="B151" s="58"/>
      <c r="C151" s="58"/>
      <c r="D151" s="58"/>
      <c r="E151" s="58"/>
      <c r="F151" s="69"/>
      <c r="G151" s="58"/>
    </row>
    <row r="152" spans="1:7" ht="21" customHeight="1">
      <c r="A152" s="58"/>
      <c r="B152" s="58"/>
      <c r="C152" s="58"/>
      <c r="D152" s="58"/>
      <c r="E152" s="58"/>
      <c r="F152" s="69"/>
      <c r="G152" s="58"/>
    </row>
    <row r="153" spans="1:7" ht="21" customHeight="1">
      <c r="A153" s="58"/>
      <c r="B153" s="58"/>
      <c r="C153" s="58"/>
      <c r="D153" s="58"/>
      <c r="E153" s="58"/>
      <c r="F153" s="69"/>
      <c r="G153" s="58"/>
    </row>
    <row r="154" spans="1:7" ht="21" customHeight="1">
      <c r="A154" s="58"/>
      <c r="B154" s="58"/>
      <c r="C154" s="58"/>
      <c r="D154" s="58"/>
      <c r="E154" s="58"/>
      <c r="F154" s="69"/>
      <c r="G154" s="58"/>
    </row>
    <row r="155" spans="1:7" ht="21" customHeight="1">
      <c r="A155" s="58"/>
      <c r="B155" s="58"/>
      <c r="C155" s="58"/>
      <c r="D155" s="58"/>
      <c r="E155" s="58"/>
      <c r="F155" s="69"/>
      <c r="G155" s="58"/>
    </row>
    <row r="156" spans="1:7" ht="21" customHeight="1">
      <c r="A156" s="58"/>
      <c r="B156" s="58"/>
      <c r="C156" s="58"/>
      <c r="D156" s="58"/>
      <c r="E156" s="58"/>
      <c r="F156" s="69"/>
      <c r="G156" s="58"/>
    </row>
    <row r="157" spans="1:7" ht="21" customHeight="1">
      <c r="A157" s="58"/>
      <c r="B157" s="58"/>
      <c r="C157" s="58"/>
      <c r="D157" s="58"/>
      <c r="E157" s="58"/>
      <c r="F157" s="69"/>
      <c r="G157" s="58"/>
    </row>
    <row r="158" spans="1:7" ht="21" customHeight="1">
      <c r="A158" s="58"/>
      <c r="B158" s="58"/>
      <c r="C158" s="58"/>
      <c r="D158" s="58"/>
      <c r="E158" s="58"/>
      <c r="F158" s="69"/>
      <c r="G158" s="58"/>
    </row>
    <row r="159" spans="1:7" ht="21" customHeight="1">
      <c r="A159" s="58"/>
      <c r="B159" s="58"/>
      <c r="C159" s="58"/>
      <c r="D159" s="58"/>
      <c r="E159" s="58"/>
      <c r="F159" s="69"/>
      <c r="G159" s="58"/>
    </row>
    <row r="160" spans="1:7" ht="21" customHeight="1">
      <c r="A160" s="58"/>
      <c r="B160" s="58"/>
      <c r="C160" s="58"/>
      <c r="D160" s="58"/>
      <c r="E160" s="58"/>
      <c r="F160" s="69"/>
      <c r="G160" s="58"/>
    </row>
    <row r="161" spans="1:7" ht="21" customHeight="1">
      <c r="A161" s="58"/>
      <c r="B161" s="58"/>
      <c r="C161" s="58"/>
      <c r="D161" s="58"/>
      <c r="E161" s="58"/>
      <c r="F161" s="69"/>
      <c r="G161" s="58"/>
    </row>
    <row r="162" spans="1:7" ht="21" customHeight="1">
      <c r="A162" s="58"/>
      <c r="B162" s="58"/>
      <c r="C162" s="58"/>
      <c r="D162" s="58"/>
      <c r="E162" s="58"/>
      <c r="F162" s="69"/>
      <c r="G162" s="58"/>
    </row>
    <row r="163" spans="1:7" ht="21" customHeight="1">
      <c r="A163" s="58"/>
      <c r="B163" s="58"/>
      <c r="C163" s="58"/>
      <c r="D163" s="58"/>
      <c r="E163" s="58"/>
      <c r="F163" s="69"/>
      <c r="G163" s="58"/>
    </row>
    <row r="164" spans="1:7" ht="21" customHeight="1">
      <c r="A164" s="58"/>
      <c r="B164" s="58"/>
      <c r="C164" s="58"/>
      <c r="D164" s="58"/>
      <c r="E164" s="58"/>
      <c r="F164" s="69"/>
      <c r="G164" s="58"/>
    </row>
    <row r="165" spans="1:7" ht="21" customHeight="1">
      <c r="A165" s="58"/>
      <c r="B165" s="58"/>
      <c r="C165" s="58"/>
      <c r="D165" s="58"/>
      <c r="E165" s="58"/>
      <c r="F165" s="69"/>
      <c r="G165" s="58"/>
    </row>
    <row r="166" spans="1:7" ht="21" customHeight="1">
      <c r="A166" s="58"/>
      <c r="B166" s="58"/>
      <c r="C166" s="58"/>
      <c r="D166" s="58"/>
      <c r="E166" s="58"/>
      <c r="F166" s="69"/>
      <c r="G166" s="58"/>
    </row>
    <row r="167" spans="1:7" ht="21" customHeight="1">
      <c r="A167" s="58"/>
      <c r="B167" s="58"/>
      <c r="C167" s="58"/>
      <c r="D167" s="58"/>
      <c r="E167" s="58"/>
      <c r="F167" s="69"/>
      <c r="G167" s="58"/>
    </row>
    <row r="168" spans="1:7" ht="21" customHeight="1">
      <c r="A168" s="58"/>
      <c r="B168" s="58"/>
      <c r="C168" s="58"/>
      <c r="D168" s="58"/>
      <c r="E168" s="58"/>
      <c r="F168" s="69"/>
      <c r="G168" s="58"/>
    </row>
    <row r="169" spans="1:7" ht="21" customHeight="1">
      <c r="A169" s="58"/>
      <c r="B169" s="58"/>
      <c r="C169" s="58"/>
      <c r="D169" s="58"/>
      <c r="E169" s="58"/>
      <c r="F169" s="69"/>
      <c r="G169" s="58"/>
    </row>
    <row r="170" spans="1:7" ht="21" customHeight="1">
      <c r="A170" s="58"/>
      <c r="B170" s="58"/>
      <c r="C170" s="58"/>
      <c r="D170" s="58"/>
      <c r="E170" s="58"/>
      <c r="F170" s="69"/>
      <c r="G170" s="58"/>
    </row>
    <row r="171" spans="1:7" ht="21" customHeight="1">
      <c r="A171" s="58"/>
      <c r="B171" s="58"/>
      <c r="C171" s="58"/>
      <c r="D171" s="58"/>
      <c r="E171" s="58"/>
      <c r="F171" s="69"/>
      <c r="G171" s="58"/>
    </row>
    <row r="172" spans="1:7" ht="21" customHeight="1">
      <c r="A172" s="58"/>
      <c r="B172" s="58"/>
      <c r="C172" s="58"/>
      <c r="D172" s="58"/>
      <c r="E172" s="58"/>
      <c r="F172" s="69"/>
      <c r="G172" s="58"/>
    </row>
    <row r="173" spans="1:7" ht="21" customHeight="1">
      <c r="A173" s="58"/>
      <c r="B173" s="58"/>
      <c r="C173" s="58"/>
      <c r="D173" s="58"/>
      <c r="E173" s="58"/>
      <c r="F173" s="69"/>
      <c r="G173" s="58"/>
    </row>
    <row r="174" spans="1:7" ht="21" customHeight="1">
      <c r="A174" s="58"/>
      <c r="B174" s="58"/>
      <c r="C174" s="58"/>
      <c r="D174" s="58"/>
      <c r="E174" s="58"/>
      <c r="F174" s="69"/>
      <c r="G174" s="58"/>
    </row>
    <row r="175" spans="1:7" ht="21" customHeight="1">
      <c r="A175" s="58"/>
      <c r="B175" s="58"/>
      <c r="C175" s="58"/>
      <c r="D175" s="58"/>
      <c r="E175" s="58"/>
      <c r="F175" s="69"/>
      <c r="G175" s="58"/>
    </row>
    <row r="176" spans="1:7" ht="21" customHeight="1">
      <c r="A176" s="58"/>
      <c r="B176" s="58"/>
      <c r="C176" s="58"/>
      <c r="D176" s="58"/>
      <c r="E176" s="58"/>
      <c r="F176" s="69"/>
      <c r="G176" s="58"/>
    </row>
    <row r="177" spans="1:7" ht="21" customHeight="1">
      <c r="A177" s="58"/>
      <c r="B177" s="58"/>
      <c r="C177" s="58"/>
      <c r="D177" s="58"/>
      <c r="E177" s="58"/>
      <c r="F177" s="69"/>
      <c r="G177" s="58"/>
    </row>
    <row r="178" spans="1:7" ht="21" customHeight="1">
      <c r="A178" s="58"/>
      <c r="B178" s="58"/>
      <c r="C178" s="58"/>
      <c r="D178" s="58"/>
      <c r="E178" s="58"/>
      <c r="F178" s="69"/>
      <c r="G178" s="58"/>
    </row>
    <row r="179" spans="1:7" ht="21" customHeight="1">
      <c r="A179" s="58"/>
      <c r="B179" s="58"/>
      <c r="C179" s="58"/>
      <c r="D179" s="58"/>
      <c r="E179" s="58"/>
      <c r="F179" s="69"/>
      <c r="G179" s="58"/>
    </row>
    <row r="180" spans="1:7" ht="21" customHeight="1">
      <c r="A180" s="58"/>
      <c r="B180" s="58"/>
      <c r="C180" s="58"/>
      <c r="D180" s="58"/>
      <c r="E180" s="58"/>
      <c r="F180" s="69"/>
      <c r="G180" s="58"/>
    </row>
    <row r="181" spans="1:7" ht="21" customHeight="1">
      <c r="A181" s="58"/>
      <c r="B181" s="58"/>
      <c r="C181" s="58"/>
      <c r="D181" s="58"/>
      <c r="E181" s="58"/>
      <c r="F181" s="69"/>
      <c r="G181" s="58"/>
    </row>
    <row r="182" spans="1:7" ht="21" customHeight="1">
      <c r="A182" s="58"/>
      <c r="B182" s="58"/>
      <c r="C182" s="58"/>
      <c r="D182" s="58"/>
      <c r="E182" s="58"/>
      <c r="F182" s="69"/>
      <c r="G182" s="58"/>
    </row>
    <row r="183" spans="1:7" ht="21" customHeight="1">
      <c r="A183" s="58"/>
      <c r="B183" s="58"/>
      <c r="C183" s="58"/>
      <c r="D183" s="58"/>
      <c r="E183" s="58"/>
      <c r="F183" s="69"/>
      <c r="G183" s="58"/>
    </row>
    <row r="184" spans="1:7" ht="21" customHeight="1">
      <c r="A184" s="58"/>
      <c r="B184" s="58"/>
      <c r="C184" s="58"/>
      <c r="D184" s="58"/>
      <c r="E184" s="58"/>
      <c r="F184" s="69"/>
      <c r="G184" s="58"/>
    </row>
    <row r="185" spans="1:7" ht="21" customHeight="1">
      <c r="A185" s="58"/>
      <c r="B185" s="58"/>
      <c r="C185" s="58"/>
      <c r="D185" s="58"/>
      <c r="E185" s="58"/>
      <c r="F185" s="69"/>
      <c r="G185" s="58"/>
    </row>
    <row r="186" spans="1:7" ht="21" customHeight="1">
      <c r="A186" s="58"/>
      <c r="B186" s="58"/>
      <c r="C186" s="58"/>
      <c r="D186" s="58"/>
      <c r="E186" s="58"/>
      <c r="F186" s="69"/>
      <c r="G186" s="58"/>
    </row>
    <row r="187" spans="1:7" ht="21" customHeight="1">
      <c r="A187" s="58"/>
      <c r="B187" s="58"/>
      <c r="C187" s="58"/>
      <c r="D187" s="58"/>
      <c r="E187" s="58"/>
      <c r="F187" s="69"/>
      <c r="G187" s="58"/>
    </row>
    <row r="188" spans="1:7" ht="21" customHeight="1">
      <c r="A188" s="58"/>
      <c r="B188" s="58"/>
      <c r="C188" s="58"/>
      <c r="D188" s="58"/>
      <c r="E188" s="58"/>
      <c r="F188" s="69"/>
      <c r="G188" s="58"/>
    </row>
    <row r="189" spans="1:7" ht="21" customHeight="1">
      <c r="A189" s="58"/>
      <c r="B189" s="58"/>
      <c r="C189" s="58"/>
      <c r="D189" s="58"/>
      <c r="E189" s="58"/>
      <c r="F189" s="69"/>
      <c r="G189" s="58"/>
    </row>
    <row r="190" spans="1:7" ht="21" customHeight="1">
      <c r="A190" s="58"/>
      <c r="B190" s="58"/>
      <c r="C190" s="58"/>
      <c r="D190" s="58"/>
      <c r="E190" s="58"/>
      <c r="F190" s="69"/>
      <c r="G190" s="58"/>
    </row>
    <row r="191" spans="1:7" ht="21" customHeight="1">
      <c r="A191" s="58"/>
      <c r="B191" s="58"/>
      <c r="C191" s="58"/>
      <c r="D191" s="58"/>
      <c r="E191" s="58"/>
      <c r="F191" s="69"/>
      <c r="G191" s="58"/>
    </row>
    <row r="192" spans="1:7" ht="21" customHeight="1">
      <c r="A192" s="58"/>
      <c r="B192" s="58"/>
      <c r="C192" s="58"/>
      <c r="D192" s="58"/>
      <c r="E192" s="58"/>
      <c r="F192" s="69"/>
      <c r="G192" s="58"/>
    </row>
    <row r="193" spans="1:7" ht="21" customHeight="1">
      <c r="A193" s="58"/>
      <c r="B193" s="58"/>
      <c r="C193" s="58"/>
      <c r="D193" s="58"/>
      <c r="E193" s="58"/>
      <c r="F193" s="69"/>
      <c r="G193" s="58"/>
    </row>
    <row r="194" spans="1:7" ht="21" customHeight="1">
      <c r="A194" s="58"/>
      <c r="B194" s="58"/>
      <c r="C194" s="58"/>
      <c r="D194" s="58"/>
      <c r="E194" s="58"/>
      <c r="F194" s="69"/>
      <c r="G194" s="58"/>
    </row>
    <row r="195" spans="1:7" ht="21" customHeight="1">
      <c r="A195" s="58"/>
      <c r="B195" s="58"/>
      <c r="C195" s="58"/>
      <c r="D195" s="58"/>
      <c r="E195" s="58"/>
      <c r="F195" s="69"/>
      <c r="G195" s="58"/>
    </row>
    <row r="196" spans="1:7" ht="21" customHeight="1">
      <c r="A196" s="58"/>
      <c r="B196" s="58"/>
      <c r="C196" s="58"/>
      <c r="D196" s="58"/>
      <c r="E196" s="58"/>
      <c r="F196" s="69"/>
      <c r="G196" s="58"/>
    </row>
    <row r="197" spans="1:7" ht="21" customHeight="1">
      <c r="A197" s="58"/>
      <c r="B197" s="58"/>
      <c r="C197" s="58"/>
      <c r="D197" s="58"/>
      <c r="E197" s="58"/>
      <c r="F197" s="69"/>
      <c r="G197" s="58"/>
    </row>
    <row r="198" spans="1:7" ht="21" customHeight="1">
      <c r="A198" s="58"/>
      <c r="B198" s="58"/>
      <c r="C198" s="58"/>
      <c r="D198" s="58"/>
      <c r="E198" s="58"/>
      <c r="F198" s="69"/>
      <c r="G198" s="58"/>
    </row>
    <row r="199" spans="1:7" ht="21" customHeight="1">
      <c r="A199" s="58"/>
      <c r="B199" s="58"/>
      <c r="C199" s="58"/>
      <c r="D199" s="58"/>
      <c r="E199" s="58"/>
      <c r="F199" s="69"/>
      <c r="G199" s="58"/>
    </row>
    <row r="200" spans="1:7" ht="21" customHeight="1">
      <c r="A200" s="58"/>
      <c r="B200" s="58"/>
      <c r="C200" s="58"/>
      <c r="D200" s="58"/>
      <c r="E200" s="58"/>
      <c r="F200" s="69"/>
      <c r="G200" s="58"/>
    </row>
    <row r="201" spans="1:7" ht="21" customHeight="1">
      <c r="A201" s="58"/>
      <c r="B201" s="58"/>
      <c r="C201" s="58"/>
      <c r="D201" s="58"/>
      <c r="E201" s="58"/>
      <c r="F201" s="69"/>
      <c r="G201" s="58"/>
    </row>
    <row r="202" spans="1:7" ht="21" customHeight="1">
      <c r="A202" s="58"/>
      <c r="B202" s="58"/>
      <c r="C202" s="58"/>
      <c r="D202" s="58"/>
      <c r="E202" s="58"/>
      <c r="F202" s="69"/>
      <c r="G202" s="58"/>
    </row>
    <row r="203" spans="1:7" ht="21" customHeight="1">
      <c r="A203" s="58"/>
      <c r="B203" s="58"/>
      <c r="C203" s="58"/>
      <c r="D203" s="58"/>
      <c r="E203" s="58"/>
      <c r="F203" s="69"/>
      <c r="G203" s="58"/>
    </row>
    <row r="204" spans="1:7" ht="21" customHeight="1">
      <c r="A204" s="58"/>
      <c r="B204" s="58"/>
      <c r="C204" s="58"/>
      <c r="D204" s="58"/>
      <c r="E204" s="58"/>
      <c r="F204" s="69"/>
      <c r="G204" s="58"/>
    </row>
    <row r="205" spans="1:7" ht="21" customHeight="1">
      <c r="A205" s="58"/>
      <c r="B205" s="58"/>
      <c r="C205" s="58"/>
      <c r="D205" s="58"/>
      <c r="E205" s="58"/>
      <c r="F205" s="69"/>
      <c r="G205" s="58"/>
    </row>
    <row r="206" spans="1:7" ht="21" customHeight="1">
      <c r="A206" s="58"/>
      <c r="B206" s="58"/>
      <c r="C206" s="58"/>
      <c r="D206" s="58"/>
      <c r="E206" s="58"/>
      <c r="F206" s="69"/>
      <c r="G206" s="58"/>
    </row>
    <row r="207" spans="1:7" ht="21" customHeight="1">
      <c r="A207" s="58"/>
      <c r="B207" s="58"/>
      <c r="C207" s="58"/>
      <c r="D207" s="58"/>
      <c r="E207" s="58"/>
      <c r="F207" s="69"/>
      <c r="G207" s="58"/>
    </row>
    <row r="208" spans="1:7" ht="21" customHeight="1">
      <c r="A208" s="58"/>
      <c r="B208" s="58"/>
      <c r="C208" s="58"/>
      <c r="D208" s="58"/>
      <c r="E208" s="58"/>
      <c r="F208" s="69"/>
      <c r="G208" s="58"/>
    </row>
    <row r="209" spans="1:7" ht="21" customHeight="1">
      <c r="A209" s="58"/>
      <c r="B209" s="58"/>
      <c r="C209" s="58"/>
      <c r="D209" s="58"/>
      <c r="E209" s="58"/>
      <c r="F209" s="69"/>
      <c r="G209" s="58"/>
    </row>
    <row r="210" spans="1:7" ht="21" customHeight="1">
      <c r="A210" s="58"/>
      <c r="B210" s="58"/>
      <c r="C210" s="58"/>
      <c r="D210" s="58"/>
      <c r="E210" s="58"/>
      <c r="F210" s="69"/>
      <c r="G210" s="58"/>
    </row>
    <row r="211" spans="1:7" ht="21" customHeight="1">
      <c r="A211" s="58"/>
      <c r="B211" s="58"/>
      <c r="C211" s="58"/>
      <c r="D211" s="58"/>
      <c r="E211" s="58"/>
      <c r="F211" s="69"/>
      <c r="G211" s="58"/>
    </row>
    <row r="212" spans="1:7" ht="21" customHeight="1">
      <c r="A212" s="58"/>
      <c r="B212" s="58"/>
      <c r="C212" s="58"/>
      <c r="D212" s="58"/>
      <c r="E212" s="58"/>
      <c r="F212" s="69"/>
      <c r="G212" s="58"/>
    </row>
    <row r="213" spans="1:7" ht="21" customHeight="1">
      <c r="A213" s="58"/>
      <c r="B213" s="58"/>
      <c r="C213" s="58"/>
      <c r="D213" s="58"/>
      <c r="E213" s="58"/>
      <c r="F213" s="69"/>
      <c r="G213" s="58"/>
    </row>
    <row r="214" spans="1:7" ht="21" customHeight="1">
      <c r="A214" s="58"/>
      <c r="B214" s="58"/>
      <c r="C214" s="58"/>
      <c r="D214" s="58"/>
      <c r="E214" s="58"/>
      <c r="F214" s="69"/>
      <c r="G214" s="58"/>
    </row>
    <row r="215" spans="1:7" ht="21" customHeight="1">
      <c r="A215" s="58"/>
      <c r="B215" s="58"/>
      <c r="C215" s="58"/>
      <c r="D215" s="58"/>
      <c r="E215" s="58"/>
      <c r="F215" s="69"/>
      <c r="G215" s="58"/>
    </row>
    <row r="216" spans="1:7" ht="21" customHeight="1">
      <c r="A216" s="58"/>
      <c r="B216" s="58"/>
      <c r="C216" s="58"/>
      <c r="D216" s="58"/>
      <c r="E216" s="58"/>
      <c r="F216" s="69"/>
      <c r="G216" s="58"/>
    </row>
    <row r="217" spans="1:7" ht="21" customHeight="1">
      <c r="A217" s="58"/>
      <c r="B217" s="58"/>
      <c r="C217" s="58"/>
      <c r="D217" s="58"/>
      <c r="E217" s="58"/>
      <c r="F217" s="69"/>
      <c r="G217" s="58"/>
    </row>
    <row r="218" spans="1:7" ht="21" customHeight="1">
      <c r="A218" s="58"/>
      <c r="B218" s="58"/>
      <c r="C218" s="58"/>
      <c r="D218" s="58"/>
      <c r="E218" s="58"/>
      <c r="F218" s="69"/>
      <c r="G218" s="58"/>
    </row>
    <row r="219" spans="1:7" ht="21" customHeight="1">
      <c r="A219" s="58"/>
      <c r="B219" s="58"/>
      <c r="C219" s="58"/>
      <c r="D219" s="58"/>
      <c r="E219" s="58"/>
      <c r="F219" s="69"/>
      <c r="G219" s="58"/>
    </row>
    <row r="220" spans="1:7" ht="21" customHeight="1">
      <c r="A220" s="58"/>
      <c r="B220" s="58"/>
      <c r="C220" s="58"/>
      <c r="D220" s="58"/>
      <c r="E220" s="58"/>
      <c r="F220" s="69"/>
      <c r="G220" s="58"/>
    </row>
    <row r="221" spans="1:7" ht="21" customHeight="1">
      <c r="A221" s="58"/>
      <c r="B221" s="58"/>
      <c r="C221" s="58"/>
      <c r="D221" s="58"/>
      <c r="E221" s="58"/>
      <c r="F221" s="69"/>
      <c r="G221" s="58"/>
    </row>
    <row r="222" spans="1:7" ht="21" customHeight="1">
      <c r="A222" s="58"/>
      <c r="B222" s="58"/>
      <c r="C222" s="58"/>
      <c r="D222" s="58"/>
      <c r="E222" s="58"/>
      <c r="F222" s="69"/>
      <c r="G222" s="58"/>
    </row>
    <row r="223" spans="1:7" ht="21" customHeight="1">
      <c r="A223" s="58"/>
      <c r="B223" s="58"/>
      <c r="C223" s="58"/>
      <c r="D223" s="58"/>
      <c r="E223" s="58"/>
      <c r="F223" s="69"/>
      <c r="G223" s="58"/>
    </row>
    <row r="224" spans="1:7" ht="21" customHeight="1">
      <c r="A224" s="58"/>
      <c r="B224" s="58"/>
      <c r="C224" s="58"/>
      <c r="D224" s="58"/>
      <c r="E224" s="58"/>
      <c r="F224" s="69"/>
      <c r="G224" s="58"/>
    </row>
    <row r="225" spans="1:7" ht="21" customHeight="1">
      <c r="A225" s="58"/>
      <c r="B225" s="58"/>
      <c r="C225" s="58"/>
      <c r="D225" s="58"/>
      <c r="E225" s="58"/>
      <c r="F225" s="69"/>
      <c r="G225" s="58"/>
    </row>
    <row r="226" spans="1:7" ht="21" customHeight="1">
      <c r="A226" s="58"/>
      <c r="B226" s="58"/>
      <c r="C226" s="58"/>
      <c r="D226" s="58"/>
      <c r="E226" s="58"/>
      <c r="F226" s="69"/>
      <c r="G226" s="58"/>
    </row>
    <row r="227" spans="1:7" ht="21" customHeight="1">
      <c r="B227" s="70"/>
      <c r="F227" s="66"/>
    </row>
    <row r="228" spans="1:7" ht="21" customHeight="1">
      <c r="B228" s="70"/>
      <c r="F228" s="66"/>
    </row>
    <row r="229" spans="1:7" ht="21" customHeight="1">
      <c r="B229" s="70"/>
      <c r="F229" s="66"/>
    </row>
    <row r="230" spans="1:7" ht="21" customHeight="1">
      <c r="B230" s="70"/>
      <c r="F230" s="66"/>
    </row>
    <row r="231" spans="1:7" ht="21" customHeight="1">
      <c r="B231" s="70"/>
      <c r="F231" s="66"/>
    </row>
    <row r="232" spans="1:7" ht="21" customHeight="1">
      <c r="B232" s="70"/>
      <c r="F232" s="66"/>
    </row>
    <row r="233" spans="1:7" ht="21" customHeight="1">
      <c r="B233" s="70"/>
      <c r="F233" s="66"/>
    </row>
    <row r="234" spans="1:7" ht="21" customHeight="1">
      <c r="B234" s="70"/>
      <c r="F234" s="66"/>
    </row>
    <row r="235" spans="1:7" ht="21" customHeight="1">
      <c r="B235" s="70"/>
      <c r="F235" s="66"/>
    </row>
    <row r="236" spans="1:7" ht="21" customHeight="1">
      <c r="B236" s="70"/>
      <c r="F236" s="66"/>
    </row>
    <row r="237" spans="1:7" ht="21" customHeight="1">
      <c r="B237" s="70"/>
      <c r="F237" s="66"/>
    </row>
    <row r="238" spans="1:7" ht="21" customHeight="1">
      <c r="B238" s="70"/>
      <c r="F238" s="66"/>
    </row>
    <row r="239" spans="1:7" ht="21" customHeight="1">
      <c r="B239" s="70"/>
      <c r="F239" s="66"/>
    </row>
    <row r="240" spans="1:7" ht="21" customHeight="1">
      <c r="B240" s="70"/>
      <c r="F240" s="66"/>
    </row>
    <row r="241" spans="2:6" ht="21" customHeight="1">
      <c r="B241" s="70"/>
      <c r="F241" s="66"/>
    </row>
    <row r="242" spans="2:6" ht="21" customHeight="1">
      <c r="B242" s="70"/>
      <c r="F242" s="66"/>
    </row>
    <row r="243" spans="2:6" ht="21" customHeight="1">
      <c r="B243" s="70"/>
      <c r="F243" s="66"/>
    </row>
    <row r="244" spans="2:6" ht="21" customHeight="1">
      <c r="B244" s="70"/>
      <c r="F244" s="66"/>
    </row>
    <row r="245" spans="2:6" ht="21" customHeight="1">
      <c r="B245" s="70"/>
      <c r="F245" s="66"/>
    </row>
    <row r="246" spans="2:6" ht="21" customHeight="1">
      <c r="B246" s="70"/>
      <c r="F246" s="66"/>
    </row>
    <row r="247" spans="2:6" ht="21" customHeight="1">
      <c r="B247" s="70"/>
      <c r="F247" s="66"/>
    </row>
    <row r="248" spans="2:6" ht="21" customHeight="1">
      <c r="B248" s="70"/>
      <c r="F248" s="66"/>
    </row>
    <row r="249" spans="2:6" ht="21" customHeight="1">
      <c r="B249" s="70"/>
      <c r="F249" s="66"/>
    </row>
    <row r="250" spans="2:6" ht="21" customHeight="1">
      <c r="B250" s="70"/>
      <c r="F250" s="66"/>
    </row>
    <row r="251" spans="2:6" ht="21" customHeight="1">
      <c r="B251" s="70"/>
      <c r="F251" s="66"/>
    </row>
    <row r="252" spans="2:6" ht="21" customHeight="1">
      <c r="B252" s="70"/>
      <c r="F252" s="66"/>
    </row>
    <row r="253" spans="2:6" ht="21" customHeight="1">
      <c r="B253" s="70"/>
      <c r="F253" s="66"/>
    </row>
    <row r="254" spans="2:6" ht="21" customHeight="1">
      <c r="B254" s="70"/>
      <c r="F254" s="66"/>
    </row>
    <row r="255" spans="2:6" ht="21" customHeight="1">
      <c r="B255" s="70"/>
      <c r="F255" s="66"/>
    </row>
    <row r="256" spans="2:6" ht="21" customHeight="1">
      <c r="B256" s="70"/>
      <c r="F256" s="66"/>
    </row>
    <row r="257" spans="2:6" ht="21" customHeight="1">
      <c r="B257" s="70"/>
      <c r="F257" s="66"/>
    </row>
    <row r="258" spans="2:6" ht="21" customHeight="1">
      <c r="B258" s="70"/>
      <c r="F258" s="66"/>
    </row>
    <row r="259" spans="2:6" ht="21" customHeight="1">
      <c r="B259" s="70"/>
      <c r="F259" s="66"/>
    </row>
    <row r="260" spans="2:6" ht="21" customHeight="1">
      <c r="B260" s="70"/>
      <c r="F260" s="66"/>
    </row>
    <row r="261" spans="2:6" ht="21" customHeight="1">
      <c r="B261" s="70"/>
      <c r="F261" s="66"/>
    </row>
    <row r="262" spans="2:6" ht="21" customHeight="1">
      <c r="B262" s="70"/>
      <c r="F262" s="66"/>
    </row>
    <row r="263" spans="2:6" ht="21" customHeight="1">
      <c r="B263" s="70"/>
      <c r="F263" s="66"/>
    </row>
    <row r="264" spans="2:6" ht="21" customHeight="1">
      <c r="B264" s="70"/>
      <c r="F264" s="66"/>
    </row>
    <row r="265" spans="2:6" ht="21" customHeight="1">
      <c r="B265" s="70"/>
      <c r="F265" s="66"/>
    </row>
    <row r="266" spans="2:6" ht="21" customHeight="1">
      <c r="B266" s="70"/>
      <c r="F266" s="66"/>
    </row>
    <row r="267" spans="2:6" ht="21" customHeight="1">
      <c r="B267" s="70"/>
      <c r="F267" s="66"/>
    </row>
    <row r="268" spans="2:6" ht="21" customHeight="1">
      <c r="B268" s="70"/>
      <c r="F268" s="66"/>
    </row>
    <row r="269" spans="2:6" ht="21" customHeight="1">
      <c r="B269" s="70"/>
      <c r="F269" s="66"/>
    </row>
    <row r="270" spans="2:6" ht="21" customHeight="1">
      <c r="B270" s="70"/>
      <c r="F270" s="66"/>
    </row>
    <row r="271" spans="2:6" ht="21" customHeight="1">
      <c r="B271" s="70"/>
      <c r="F271" s="66"/>
    </row>
    <row r="272" spans="2:6" ht="21" customHeight="1">
      <c r="B272" s="70"/>
      <c r="F272" s="66"/>
    </row>
    <row r="273" spans="2:6" ht="21" customHeight="1">
      <c r="B273" s="70"/>
      <c r="F273" s="66"/>
    </row>
    <row r="274" spans="2:6" ht="21" customHeight="1">
      <c r="B274" s="70"/>
      <c r="F274" s="66"/>
    </row>
    <row r="275" spans="2:6" ht="21" customHeight="1">
      <c r="B275" s="70"/>
      <c r="F275" s="66"/>
    </row>
    <row r="276" spans="2:6" ht="21" customHeight="1">
      <c r="B276" s="70"/>
      <c r="F276" s="66"/>
    </row>
    <row r="277" spans="2:6" ht="21" customHeight="1">
      <c r="B277" s="70"/>
      <c r="F277" s="66"/>
    </row>
    <row r="278" spans="2:6" ht="21" customHeight="1">
      <c r="B278" s="70"/>
      <c r="F278" s="66"/>
    </row>
    <row r="279" spans="2:6" ht="21" customHeight="1">
      <c r="B279" s="70"/>
      <c r="F279" s="66"/>
    </row>
    <row r="280" spans="2:6" ht="21" customHeight="1">
      <c r="B280" s="70"/>
      <c r="F280" s="66"/>
    </row>
    <row r="281" spans="2:6" ht="21" customHeight="1">
      <c r="B281" s="70"/>
      <c r="F281" s="66"/>
    </row>
    <row r="282" spans="2:6" ht="21" customHeight="1">
      <c r="B282" s="70"/>
      <c r="F282" s="66"/>
    </row>
    <row r="283" spans="2:6" ht="21" customHeight="1">
      <c r="B283" s="70"/>
      <c r="F283" s="66"/>
    </row>
    <row r="284" spans="2:6" ht="21" customHeight="1">
      <c r="B284" s="70"/>
      <c r="F284" s="66"/>
    </row>
    <row r="285" spans="2:6" ht="21" customHeight="1">
      <c r="B285" s="70"/>
      <c r="F285" s="66"/>
    </row>
    <row r="286" spans="2:6" ht="21" customHeight="1">
      <c r="B286" s="70"/>
      <c r="F286" s="66"/>
    </row>
    <row r="287" spans="2:6" ht="21" customHeight="1">
      <c r="B287" s="70"/>
      <c r="F287" s="66"/>
    </row>
    <row r="288" spans="2:6" ht="21" customHeight="1">
      <c r="B288" s="70"/>
      <c r="F288" s="66"/>
    </row>
    <row r="289" spans="2:6" ht="21" customHeight="1">
      <c r="B289" s="70"/>
      <c r="F289" s="66"/>
    </row>
    <row r="290" spans="2:6" ht="21" customHeight="1">
      <c r="B290" s="70"/>
      <c r="F290" s="66"/>
    </row>
    <row r="291" spans="2:6" ht="21" customHeight="1">
      <c r="B291" s="70"/>
      <c r="F291" s="66"/>
    </row>
    <row r="292" spans="2:6" ht="21" customHeight="1">
      <c r="B292" s="70"/>
      <c r="F292" s="66"/>
    </row>
    <row r="293" spans="2:6" ht="21" customHeight="1">
      <c r="B293" s="70"/>
      <c r="F293" s="66"/>
    </row>
    <row r="294" spans="2:6" ht="21" customHeight="1">
      <c r="B294" s="70"/>
      <c r="F294" s="66"/>
    </row>
    <row r="295" spans="2:6" ht="21" customHeight="1">
      <c r="B295" s="70"/>
      <c r="F295" s="66"/>
    </row>
    <row r="296" spans="2:6" ht="21" customHeight="1">
      <c r="B296" s="70"/>
      <c r="F296" s="66"/>
    </row>
    <row r="297" spans="2:6" ht="21" customHeight="1">
      <c r="B297" s="70"/>
      <c r="F297" s="66"/>
    </row>
    <row r="298" spans="2:6" ht="21" customHeight="1">
      <c r="B298" s="70"/>
      <c r="F298" s="66"/>
    </row>
    <row r="299" spans="2:6" ht="21" customHeight="1">
      <c r="B299" s="70"/>
      <c r="F299" s="66"/>
    </row>
    <row r="300" spans="2:6" ht="21" customHeight="1">
      <c r="B300" s="70"/>
      <c r="F300" s="66"/>
    </row>
    <row r="301" spans="2:6" ht="21" customHeight="1">
      <c r="B301" s="70"/>
      <c r="F301" s="66"/>
    </row>
    <row r="302" spans="2:6" ht="21" customHeight="1">
      <c r="B302" s="70"/>
      <c r="F302" s="66"/>
    </row>
    <row r="303" spans="2:6" ht="21" customHeight="1">
      <c r="B303" s="70"/>
      <c r="F303" s="66"/>
    </row>
    <row r="304" spans="2:6" ht="21" customHeight="1">
      <c r="B304" s="70"/>
      <c r="F304" s="66"/>
    </row>
    <row r="305" spans="2:6" ht="21" customHeight="1">
      <c r="B305" s="70"/>
      <c r="F305" s="66"/>
    </row>
    <row r="306" spans="2:6" ht="21" customHeight="1">
      <c r="B306" s="70"/>
      <c r="F306" s="66"/>
    </row>
    <row r="307" spans="2:6" ht="21" customHeight="1">
      <c r="B307" s="70"/>
      <c r="F307" s="66"/>
    </row>
    <row r="308" spans="2:6" ht="21" customHeight="1">
      <c r="B308" s="70"/>
      <c r="F308" s="66"/>
    </row>
    <row r="309" spans="2:6" ht="21" customHeight="1">
      <c r="B309" s="70"/>
      <c r="F309" s="66"/>
    </row>
    <row r="310" spans="2:6" ht="21" customHeight="1">
      <c r="B310" s="70"/>
      <c r="F310" s="66"/>
    </row>
    <row r="311" spans="2:6" ht="21" customHeight="1">
      <c r="B311" s="70"/>
      <c r="F311" s="66"/>
    </row>
    <row r="312" spans="2:6" ht="21" customHeight="1">
      <c r="B312" s="70"/>
      <c r="F312" s="66"/>
    </row>
    <row r="313" spans="2:6" ht="21" customHeight="1">
      <c r="B313" s="70"/>
      <c r="F313" s="66"/>
    </row>
    <row r="314" spans="2:6" ht="21" customHeight="1">
      <c r="B314" s="70"/>
      <c r="F314" s="66"/>
    </row>
    <row r="315" spans="2:6" ht="21" customHeight="1">
      <c r="B315" s="70"/>
      <c r="F315" s="66"/>
    </row>
    <row r="316" spans="2:6" ht="21" customHeight="1">
      <c r="B316" s="70"/>
      <c r="F316" s="66"/>
    </row>
    <row r="317" spans="2:6" ht="21" customHeight="1">
      <c r="B317" s="70"/>
      <c r="F317" s="66"/>
    </row>
    <row r="318" spans="2:6" ht="21" customHeight="1">
      <c r="B318" s="70"/>
      <c r="F318" s="66"/>
    </row>
    <row r="319" spans="2:6" ht="21" customHeight="1">
      <c r="B319" s="70"/>
      <c r="F319" s="66"/>
    </row>
    <row r="320" spans="2:6" ht="21" customHeight="1">
      <c r="B320" s="70"/>
      <c r="F320" s="66"/>
    </row>
    <row r="321" spans="2:6" ht="21" customHeight="1">
      <c r="B321" s="70"/>
      <c r="F321" s="66"/>
    </row>
    <row r="322" spans="2:6" ht="21" customHeight="1">
      <c r="B322" s="70"/>
      <c r="F322" s="66"/>
    </row>
    <row r="323" spans="2:6" ht="21" customHeight="1">
      <c r="B323" s="70"/>
      <c r="F323" s="66"/>
    </row>
    <row r="324" spans="2:6" ht="21" customHeight="1">
      <c r="B324" s="70"/>
      <c r="F324" s="66"/>
    </row>
    <row r="325" spans="2:6" ht="21" customHeight="1">
      <c r="B325" s="70"/>
      <c r="F325" s="66"/>
    </row>
    <row r="326" spans="2:6" ht="21" customHeight="1">
      <c r="B326" s="70"/>
      <c r="F326" s="66"/>
    </row>
    <row r="327" spans="2:6" ht="21" customHeight="1">
      <c r="B327" s="70"/>
      <c r="F327" s="66"/>
    </row>
    <row r="328" spans="2:6" ht="21" customHeight="1">
      <c r="B328" s="70"/>
      <c r="F328" s="66"/>
    </row>
    <row r="329" spans="2:6" ht="21" customHeight="1">
      <c r="B329" s="70"/>
      <c r="F329" s="66"/>
    </row>
    <row r="330" spans="2:6" ht="21" customHeight="1">
      <c r="B330" s="70"/>
      <c r="F330" s="66"/>
    </row>
    <row r="331" spans="2:6" ht="21" customHeight="1">
      <c r="B331" s="70"/>
      <c r="F331" s="66"/>
    </row>
    <row r="332" spans="2:6" ht="21" customHeight="1">
      <c r="B332" s="70"/>
      <c r="F332" s="66"/>
    </row>
    <row r="333" spans="2:6" ht="21" customHeight="1">
      <c r="B333" s="70"/>
      <c r="F333" s="66"/>
    </row>
    <row r="334" spans="2:6" ht="21" customHeight="1">
      <c r="B334" s="70"/>
      <c r="F334" s="66"/>
    </row>
    <row r="335" spans="2:6" ht="21" customHeight="1">
      <c r="B335" s="70"/>
      <c r="F335" s="66"/>
    </row>
    <row r="336" spans="2:6" ht="21" customHeight="1">
      <c r="B336" s="70"/>
      <c r="F336" s="66"/>
    </row>
    <row r="337" spans="2:6" ht="21" customHeight="1">
      <c r="B337" s="70"/>
      <c r="F337" s="66"/>
    </row>
    <row r="338" spans="2:6" ht="21" customHeight="1">
      <c r="B338" s="70"/>
      <c r="F338" s="66"/>
    </row>
    <row r="339" spans="2:6" ht="21" customHeight="1">
      <c r="B339" s="70"/>
      <c r="F339" s="66"/>
    </row>
    <row r="340" spans="2:6" ht="21" customHeight="1">
      <c r="B340" s="70"/>
      <c r="F340" s="66"/>
    </row>
    <row r="341" spans="2:6" ht="21" customHeight="1">
      <c r="B341" s="70"/>
      <c r="F341" s="66"/>
    </row>
    <row r="342" spans="2:6" ht="21" customHeight="1">
      <c r="B342" s="70"/>
      <c r="F342" s="66"/>
    </row>
    <row r="343" spans="2:6" ht="21" customHeight="1">
      <c r="B343" s="70"/>
      <c r="F343" s="66"/>
    </row>
    <row r="344" spans="2:6" ht="21" customHeight="1">
      <c r="B344" s="70"/>
      <c r="F344" s="66"/>
    </row>
    <row r="345" spans="2:6" ht="21" customHeight="1">
      <c r="B345" s="70"/>
      <c r="F345" s="66"/>
    </row>
    <row r="346" spans="2:6" ht="21" customHeight="1">
      <c r="B346" s="70"/>
      <c r="F346" s="66"/>
    </row>
    <row r="347" spans="2:6" ht="21" customHeight="1">
      <c r="B347" s="70"/>
      <c r="F347" s="66"/>
    </row>
    <row r="348" spans="2:6" ht="21" customHeight="1">
      <c r="B348" s="70"/>
      <c r="F348" s="66"/>
    </row>
    <row r="349" spans="2:6" ht="21" customHeight="1">
      <c r="B349" s="70"/>
      <c r="F349" s="66"/>
    </row>
    <row r="350" spans="2:6" ht="21" customHeight="1">
      <c r="B350" s="70"/>
      <c r="F350" s="66"/>
    </row>
    <row r="351" spans="2:6" ht="21" customHeight="1">
      <c r="B351" s="70"/>
      <c r="F351" s="66"/>
    </row>
    <row r="352" spans="2:6" ht="21" customHeight="1">
      <c r="B352" s="70"/>
      <c r="F352" s="66"/>
    </row>
    <row r="353" spans="2:6" ht="21" customHeight="1">
      <c r="B353" s="70"/>
      <c r="F353" s="66"/>
    </row>
    <row r="354" spans="2:6" ht="21" customHeight="1">
      <c r="B354" s="70"/>
      <c r="F354" s="66"/>
    </row>
    <row r="355" spans="2:6" ht="21" customHeight="1">
      <c r="B355" s="70"/>
      <c r="F355" s="66"/>
    </row>
    <row r="356" spans="2:6" ht="21" customHeight="1">
      <c r="B356" s="70"/>
      <c r="F356" s="66"/>
    </row>
    <row r="357" spans="2:6" ht="21" customHeight="1">
      <c r="B357" s="70"/>
      <c r="F357" s="66"/>
    </row>
    <row r="358" spans="2:6" ht="21" customHeight="1">
      <c r="B358" s="70"/>
      <c r="F358" s="66"/>
    </row>
    <row r="359" spans="2:6" ht="21" customHeight="1">
      <c r="B359" s="70"/>
      <c r="F359" s="66"/>
    </row>
    <row r="360" spans="2:6" ht="21" customHeight="1">
      <c r="B360" s="70"/>
      <c r="F360" s="66"/>
    </row>
    <row r="361" spans="2:6" ht="21" customHeight="1">
      <c r="B361" s="70"/>
      <c r="F361" s="66"/>
    </row>
    <row r="362" spans="2:6" ht="21" customHeight="1">
      <c r="B362" s="70"/>
      <c r="F362" s="66"/>
    </row>
    <row r="363" spans="2:6" ht="21" customHeight="1">
      <c r="B363" s="70"/>
      <c r="F363" s="66"/>
    </row>
    <row r="364" spans="2:6" ht="21" customHeight="1">
      <c r="B364" s="70"/>
      <c r="F364" s="66"/>
    </row>
    <row r="365" spans="2:6" ht="21" customHeight="1">
      <c r="B365" s="70"/>
      <c r="F365" s="66"/>
    </row>
    <row r="366" spans="2:6" ht="21" customHeight="1">
      <c r="B366" s="70"/>
      <c r="F366" s="66"/>
    </row>
    <row r="367" spans="2:6" ht="21" customHeight="1">
      <c r="B367" s="70"/>
      <c r="F367" s="66"/>
    </row>
    <row r="368" spans="2:6" ht="21" customHeight="1">
      <c r="B368" s="70"/>
      <c r="F368" s="66"/>
    </row>
    <row r="369" spans="2:6" ht="21" customHeight="1">
      <c r="B369" s="70"/>
      <c r="F369" s="66"/>
    </row>
    <row r="370" spans="2:6" ht="21" customHeight="1">
      <c r="B370" s="70"/>
      <c r="F370" s="66"/>
    </row>
    <row r="371" spans="2:6" ht="21" customHeight="1">
      <c r="B371" s="70"/>
      <c r="F371" s="66"/>
    </row>
    <row r="372" spans="2:6" ht="21" customHeight="1">
      <c r="B372" s="70"/>
      <c r="F372" s="66"/>
    </row>
    <row r="373" spans="2:6" ht="21" customHeight="1">
      <c r="B373" s="70"/>
      <c r="F373" s="66"/>
    </row>
    <row r="374" spans="2:6" ht="21" customHeight="1">
      <c r="B374" s="70"/>
      <c r="F374" s="66"/>
    </row>
    <row r="375" spans="2:6" ht="21" customHeight="1">
      <c r="B375" s="70"/>
      <c r="F375" s="66"/>
    </row>
    <row r="376" spans="2:6" ht="21" customHeight="1">
      <c r="B376" s="70"/>
      <c r="F376" s="66"/>
    </row>
    <row r="377" spans="2:6" ht="21" customHeight="1">
      <c r="B377" s="70"/>
      <c r="F377" s="66"/>
    </row>
    <row r="378" spans="2:6" ht="21" customHeight="1">
      <c r="B378" s="70"/>
      <c r="F378" s="66"/>
    </row>
    <row r="379" spans="2:6" ht="21" customHeight="1">
      <c r="B379" s="70"/>
      <c r="F379" s="66"/>
    </row>
    <row r="380" spans="2:6" ht="21" customHeight="1">
      <c r="B380" s="70"/>
      <c r="F380" s="66"/>
    </row>
    <row r="381" spans="2:6" ht="21" customHeight="1">
      <c r="B381" s="70"/>
      <c r="F381" s="66"/>
    </row>
    <row r="382" spans="2:6" ht="21" customHeight="1">
      <c r="B382" s="70"/>
      <c r="F382" s="66"/>
    </row>
    <row r="383" spans="2:6" ht="21" customHeight="1">
      <c r="B383" s="70"/>
      <c r="F383" s="66"/>
    </row>
    <row r="384" spans="2:6" ht="21" customHeight="1">
      <c r="B384" s="70"/>
      <c r="F384" s="66"/>
    </row>
    <row r="385" spans="2:6" ht="21" customHeight="1">
      <c r="B385" s="70"/>
      <c r="F385" s="66"/>
    </row>
    <row r="386" spans="2:6" ht="21" customHeight="1">
      <c r="B386" s="70"/>
      <c r="F386" s="66"/>
    </row>
    <row r="387" spans="2:6" ht="21" customHeight="1">
      <c r="B387" s="70"/>
      <c r="F387" s="66"/>
    </row>
    <row r="388" spans="2:6" ht="21" customHeight="1">
      <c r="B388" s="70"/>
      <c r="F388" s="66"/>
    </row>
    <row r="389" spans="2:6" ht="21" customHeight="1">
      <c r="B389" s="70"/>
      <c r="F389" s="66"/>
    </row>
    <row r="390" spans="2:6" ht="21" customHeight="1">
      <c r="B390" s="70"/>
      <c r="F390" s="66"/>
    </row>
    <row r="391" spans="2:6" ht="21" customHeight="1">
      <c r="B391" s="70"/>
      <c r="F391" s="66"/>
    </row>
    <row r="392" spans="2:6" ht="21" customHeight="1">
      <c r="B392" s="70"/>
      <c r="F392" s="66"/>
    </row>
    <row r="393" spans="2:6" ht="21" customHeight="1">
      <c r="B393" s="70"/>
      <c r="F393" s="66"/>
    </row>
    <row r="394" spans="2:6" ht="21" customHeight="1">
      <c r="B394" s="70"/>
      <c r="F394" s="66"/>
    </row>
    <row r="395" spans="2:6" ht="21" customHeight="1">
      <c r="B395" s="70"/>
      <c r="F395" s="66"/>
    </row>
    <row r="396" spans="2:6" ht="21" customHeight="1">
      <c r="B396" s="70"/>
      <c r="F396" s="66"/>
    </row>
    <row r="397" spans="2:6" ht="21" customHeight="1">
      <c r="B397" s="70"/>
      <c r="F397" s="66"/>
    </row>
    <row r="398" spans="2:6" ht="21" customHeight="1">
      <c r="B398" s="70"/>
      <c r="F398" s="66"/>
    </row>
    <row r="399" spans="2:6" ht="21" customHeight="1">
      <c r="B399" s="70"/>
      <c r="F399" s="66"/>
    </row>
    <row r="400" spans="2:6" ht="21" customHeight="1">
      <c r="B400" s="70"/>
      <c r="F400" s="66"/>
    </row>
    <row r="401" spans="2:6" ht="21" customHeight="1">
      <c r="B401" s="70"/>
      <c r="F401" s="66"/>
    </row>
    <row r="402" spans="2:6" ht="21" customHeight="1">
      <c r="B402" s="70"/>
      <c r="F402" s="66"/>
    </row>
    <row r="403" spans="2:6" ht="21" customHeight="1">
      <c r="B403" s="70"/>
      <c r="F403" s="66"/>
    </row>
    <row r="404" spans="2:6" ht="21" customHeight="1">
      <c r="B404" s="70"/>
      <c r="F404" s="66"/>
    </row>
    <row r="405" spans="2:6" ht="21" customHeight="1">
      <c r="B405" s="70"/>
      <c r="F405" s="66"/>
    </row>
    <row r="406" spans="2:6" ht="21" customHeight="1">
      <c r="B406" s="70"/>
      <c r="F406" s="66"/>
    </row>
    <row r="407" spans="2:6" ht="21" customHeight="1">
      <c r="B407" s="70"/>
      <c r="F407" s="66"/>
    </row>
    <row r="408" spans="2:6" ht="21" customHeight="1">
      <c r="B408" s="70"/>
      <c r="F408" s="66"/>
    </row>
    <row r="409" spans="2:6" ht="21" customHeight="1">
      <c r="B409" s="70"/>
      <c r="F409" s="66"/>
    </row>
    <row r="410" spans="2:6" ht="21" customHeight="1">
      <c r="B410" s="70"/>
      <c r="F410" s="66"/>
    </row>
    <row r="411" spans="2:6" ht="21" customHeight="1">
      <c r="B411" s="70"/>
      <c r="F411" s="66"/>
    </row>
    <row r="412" spans="2:6" ht="21" customHeight="1">
      <c r="B412" s="70"/>
      <c r="F412" s="66"/>
    </row>
    <row r="413" spans="2:6" ht="21" customHeight="1">
      <c r="B413" s="70"/>
      <c r="F413" s="66"/>
    </row>
    <row r="414" spans="2:6" ht="21" customHeight="1">
      <c r="B414" s="70"/>
      <c r="F414" s="66"/>
    </row>
    <row r="415" spans="2:6" ht="21" customHeight="1">
      <c r="B415" s="70"/>
      <c r="F415" s="66"/>
    </row>
    <row r="416" spans="2:6" ht="21" customHeight="1">
      <c r="B416" s="70"/>
      <c r="F416" s="66"/>
    </row>
    <row r="417" spans="2:6" ht="21" customHeight="1">
      <c r="B417" s="70"/>
      <c r="F417" s="66"/>
    </row>
    <row r="418" spans="2:6" ht="21" customHeight="1">
      <c r="B418" s="70"/>
      <c r="F418" s="66"/>
    </row>
    <row r="419" spans="2:6" ht="21" customHeight="1">
      <c r="B419" s="70"/>
      <c r="F419" s="66"/>
    </row>
    <row r="420" spans="2:6" ht="21" customHeight="1">
      <c r="B420" s="70"/>
      <c r="F420" s="66"/>
    </row>
    <row r="421" spans="2:6" ht="21" customHeight="1">
      <c r="B421" s="70"/>
      <c r="F421" s="66"/>
    </row>
    <row r="422" spans="2:6" ht="21" customHeight="1">
      <c r="B422" s="70"/>
      <c r="F422" s="66"/>
    </row>
    <row r="423" spans="2:6" ht="21" customHeight="1">
      <c r="B423" s="70"/>
      <c r="F423" s="66"/>
    </row>
    <row r="424" spans="2:6" ht="21" customHeight="1">
      <c r="B424" s="70"/>
      <c r="F424" s="66"/>
    </row>
    <row r="425" spans="2:6" ht="21" customHeight="1">
      <c r="B425" s="70"/>
      <c r="F425" s="66"/>
    </row>
    <row r="426" spans="2:6" ht="21" customHeight="1">
      <c r="B426" s="70"/>
      <c r="F426" s="66"/>
    </row>
    <row r="427" spans="2:6" ht="21" customHeight="1">
      <c r="B427" s="70"/>
      <c r="F427" s="66"/>
    </row>
    <row r="428" spans="2:6" ht="21" customHeight="1">
      <c r="B428" s="70"/>
      <c r="F428" s="66"/>
    </row>
    <row r="429" spans="2:6" ht="21" customHeight="1">
      <c r="B429" s="70"/>
      <c r="F429" s="66"/>
    </row>
    <row r="430" spans="2:6" ht="21" customHeight="1">
      <c r="B430" s="70"/>
      <c r="F430" s="66"/>
    </row>
    <row r="431" spans="2:6" ht="21" customHeight="1">
      <c r="B431" s="70"/>
      <c r="F431" s="66"/>
    </row>
    <row r="432" spans="2:6" ht="21" customHeight="1">
      <c r="B432" s="70"/>
      <c r="F432" s="66"/>
    </row>
    <row r="433" spans="2:6" ht="21" customHeight="1">
      <c r="B433" s="70"/>
      <c r="F433" s="66"/>
    </row>
    <row r="434" spans="2:6" ht="21" customHeight="1">
      <c r="B434" s="70"/>
      <c r="F434" s="66"/>
    </row>
    <row r="435" spans="2:6" ht="21" customHeight="1">
      <c r="B435" s="70"/>
      <c r="F435" s="66"/>
    </row>
    <row r="436" spans="2:6" ht="21" customHeight="1">
      <c r="B436" s="70"/>
      <c r="F436" s="66"/>
    </row>
    <row r="437" spans="2:6" ht="21" customHeight="1">
      <c r="B437" s="70"/>
      <c r="F437" s="66"/>
    </row>
    <row r="438" spans="2:6" ht="21" customHeight="1">
      <c r="B438" s="70"/>
      <c r="F438" s="66"/>
    </row>
    <row r="439" spans="2:6" ht="21" customHeight="1">
      <c r="B439" s="70"/>
      <c r="F439" s="66"/>
    </row>
    <row r="440" spans="2:6" ht="21" customHeight="1">
      <c r="B440" s="70"/>
      <c r="F440" s="66"/>
    </row>
    <row r="441" spans="2:6" ht="21" customHeight="1">
      <c r="B441" s="70"/>
      <c r="F441" s="66"/>
    </row>
    <row r="442" spans="2:6" ht="21" customHeight="1">
      <c r="B442" s="70"/>
      <c r="F442" s="66"/>
    </row>
    <row r="443" spans="2:6" ht="21" customHeight="1">
      <c r="B443" s="70"/>
      <c r="F443" s="66"/>
    </row>
    <row r="444" spans="2:6" ht="21" customHeight="1">
      <c r="B444" s="70"/>
      <c r="F444" s="66"/>
    </row>
    <row r="445" spans="2:6" ht="21" customHeight="1">
      <c r="B445" s="70"/>
      <c r="F445" s="66"/>
    </row>
    <row r="446" spans="2:6" ht="21" customHeight="1">
      <c r="B446" s="70"/>
      <c r="F446" s="66"/>
    </row>
    <row r="447" spans="2:6" ht="21" customHeight="1">
      <c r="B447" s="70"/>
      <c r="F447" s="66"/>
    </row>
    <row r="448" spans="2:6" ht="21" customHeight="1">
      <c r="B448" s="70"/>
      <c r="F448" s="66"/>
    </row>
    <row r="449" spans="2:6" ht="21" customHeight="1">
      <c r="B449" s="70"/>
      <c r="F449" s="66"/>
    </row>
    <row r="450" spans="2:6" ht="21" customHeight="1">
      <c r="B450" s="70"/>
      <c r="F450" s="66"/>
    </row>
    <row r="451" spans="2:6" ht="21" customHeight="1">
      <c r="B451" s="70"/>
      <c r="F451" s="66"/>
    </row>
    <row r="452" spans="2:6" ht="21" customHeight="1">
      <c r="B452" s="70"/>
      <c r="F452" s="66"/>
    </row>
    <row r="453" spans="2:6" ht="21" customHeight="1">
      <c r="B453" s="70"/>
      <c r="F453" s="66"/>
    </row>
    <row r="454" spans="2:6" ht="21" customHeight="1">
      <c r="B454" s="70"/>
      <c r="F454" s="66"/>
    </row>
    <row r="455" spans="2:6" ht="21" customHeight="1">
      <c r="B455" s="70"/>
      <c r="F455" s="66"/>
    </row>
    <row r="456" spans="2:6" ht="21" customHeight="1">
      <c r="B456" s="70"/>
      <c r="F456" s="66"/>
    </row>
    <row r="457" spans="2:6" ht="21" customHeight="1">
      <c r="B457" s="70"/>
      <c r="F457" s="66"/>
    </row>
    <row r="458" spans="2:6" ht="21" customHeight="1">
      <c r="B458" s="70"/>
      <c r="F458" s="66"/>
    </row>
    <row r="459" spans="2:6" ht="21" customHeight="1">
      <c r="B459" s="70"/>
      <c r="F459" s="66"/>
    </row>
    <row r="460" spans="2:6" ht="21" customHeight="1">
      <c r="B460" s="70"/>
      <c r="F460" s="66"/>
    </row>
    <row r="461" spans="2:6" ht="21" customHeight="1">
      <c r="B461" s="70"/>
      <c r="F461" s="66"/>
    </row>
    <row r="462" spans="2:6" ht="21" customHeight="1">
      <c r="B462" s="70"/>
      <c r="F462" s="66"/>
    </row>
    <row r="463" spans="2:6" ht="21" customHeight="1">
      <c r="B463" s="70"/>
      <c r="F463" s="66"/>
    </row>
    <row r="464" spans="2:6" ht="21" customHeight="1">
      <c r="B464" s="70"/>
      <c r="F464" s="66"/>
    </row>
    <row r="465" spans="2:6" ht="21" customHeight="1">
      <c r="B465" s="70"/>
      <c r="F465" s="66"/>
    </row>
    <row r="466" spans="2:6" ht="21" customHeight="1">
      <c r="B466" s="70"/>
      <c r="F466" s="66"/>
    </row>
    <row r="467" spans="2:6" ht="21" customHeight="1">
      <c r="B467" s="70"/>
      <c r="F467" s="66"/>
    </row>
    <row r="468" spans="2:6" ht="21" customHeight="1">
      <c r="B468" s="70"/>
      <c r="F468" s="66"/>
    </row>
    <row r="469" spans="2:6" ht="21" customHeight="1">
      <c r="B469" s="70"/>
      <c r="F469" s="66"/>
    </row>
    <row r="470" spans="2:6" ht="21" customHeight="1">
      <c r="B470" s="70"/>
      <c r="F470" s="66"/>
    </row>
    <row r="471" spans="2:6" ht="21" customHeight="1">
      <c r="B471" s="70"/>
      <c r="F471" s="66"/>
    </row>
    <row r="472" spans="2:6" ht="21" customHeight="1">
      <c r="B472" s="70"/>
      <c r="F472" s="66"/>
    </row>
    <row r="473" spans="2:6" ht="21" customHeight="1">
      <c r="B473" s="70"/>
      <c r="F473" s="66"/>
    </row>
    <row r="474" spans="2:6" ht="21" customHeight="1">
      <c r="B474" s="70"/>
      <c r="F474" s="66"/>
    </row>
    <row r="475" spans="2:6" ht="21" customHeight="1">
      <c r="B475" s="70"/>
      <c r="F475" s="66"/>
    </row>
    <row r="476" spans="2:6" ht="21" customHeight="1">
      <c r="B476" s="70"/>
      <c r="F476" s="66"/>
    </row>
    <row r="477" spans="2:6" ht="21" customHeight="1">
      <c r="B477" s="70"/>
      <c r="F477" s="66"/>
    </row>
    <row r="478" spans="2:6" ht="21" customHeight="1">
      <c r="B478" s="70"/>
      <c r="F478" s="66"/>
    </row>
    <row r="479" spans="2:6" ht="21" customHeight="1">
      <c r="B479" s="70"/>
      <c r="F479" s="66"/>
    </row>
    <row r="480" spans="2:6" ht="21" customHeight="1">
      <c r="B480" s="70"/>
      <c r="F480" s="66"/>
    </row>
    <row r="481" spans="2:6" ht="21" customHeight="1">
      <c r="B481" s="70"/>
      <c r="F481" s="66"/>
    </row>
    <row r="482" spans="2:6" ht="21" customHeight="1">
      <c r="B482" s="70"/>
      <c r="F482" s="66"/>
    </row>
    <row r="483" spans="2:6" ht="21" customHeight="1">
      <c r="B483" s="70"/>
      <c r="F483" s="66"/>
    </row>
    <row r="484" spans="2:6" ht="21" customHeight="1">
      <c r="B484" s="70"/>
      <c r="F484" s="66"/>
    </row>
    <row r="485" spans="2:6" ht="21" customHeight="1">
      <c r="B485" s="70"/>
      <c r="F485" s="66"/>
    </row>
    <row r="486" spans="2:6" ht="21" customHeight="1">
      <c r="B486" s="70"/>
      <c r="F486" s="66"/>
    </row>
    <row r="487" spans="2:6" ht="21" customHeight="1">
      <c r="B487" s="70"/>
      <c r="F487" s="66"/>
    </row>
    <row r="488" spans="2:6" ht="21" customHeight="1">
      <c r="B488" s="70"/>
      <c r="F488" s="66"/>
    </row>
    <row r="489" spans="2:6" ht="21" customHeight="1">
      <c r="B489" s="70"/>
      <c r="F489" s="66"/>
    </row>
    <row r="490" spans="2:6" ht="21" customHeight="1">
      <c r="B490" s="70"/>
      <c r="F490" s="66"/>
    </row>
    <row r="491" spans="2:6" ht="21" customHeight="1">
      <c r="B491" s="70"/>
      <c r="F491" s="66"/>
    </row>
    <row r="492" spans="2:6" ht="21" customHeight="1">
      <c r="B492" s="70"/>
      <c r="F492" s="66"/>
    </row>
    <row r="493" spans="2:6" ht="21" customHeight="1">
      <c r="B493" s="70"/>
      <c r="F493" s="66"/>
    </row>
    <row r="494" spans="2:6" ht="21" customHeight="1">
      <c r="B494" s="70"/>
      <c r="F494" s="66"/>
    </row>
    <row r="495" spans="2:6" ht="21" customHeight="1">
      <c r="B495" s="70"/>
      <c r="F495" s="66"/>
    </row>
    <row r="496" spans="2:6" ht="21" customHeight="1">
      <c r="B496" s="70"/>
      <c r="F496" s="66"/>
    </row>
    <row r="497" spans="2:6" ht="21" customHeight="1">
      <c r="B497" s="70"/>
      <c r="F497" s="66"/>
    </row>
    <row r="498" spans="2:6" ht="21" customHeight="1">
      <c r="B498" s="70"/>
      <c r="F498" s="66"/>
    </row>
    <row r="499" spans="2:6" ht="21" customHeight="1">
      <c r="B499" s="70"/>
      <c r="F499" s="66"/>
    </row>
    <row r="500" spans="2:6" ht="21" customHeight="1">
      <c r="B500" s="70"/>
      <c r="F500" s="66"/>
    </row>
    <row r="501" spans="2:6" ht="21" customHeight="1">
      <c r="B501" s="70"/>
      <c r="F501" s="66"/>
    </row>
    <row r="502" spans="2:6" ht="21" customHeight="1">
      <c r="B502" s="70"/>
      <c r="F502" s="66"/>
    </row>
    <row r="503" spans="2:6" ht="21" customHeight="1">
      <c r="B503" s="70"/>
      <c r="F503" s="66"/>
    </row>
    <row r="504" spans="2:6" ht="21" customHeight="1">
      <c r="B504" s="70"/>
      <c r="F504" s="66"/>
    </row>
    <row r="505" spans="2:6" ht="21" customHeight="1">
      <c r="B505" s="70"/>
      <c r="F505" s="66"/>
    </row>
    <row r="506" spans="2:6" ht="21" customHeight="1">
      <c r="B506" s="70"/>
      <c r="F506" s="66"/>
    </row>
    <row r="507" spans="2:6" ht="21" customHeight="1">
      <c r="B507" s="70"/>
      <c r="F507" s="66"/>
    </row>
    <row r="508" spans="2:6" ht="21" customHeight="1">
      <c r="B508" s="70"/>
      <c r="F508" s="66"/>
    </row>
    <row r="509" spans="2:6" ht="21" customHeight="1">
      <c r="B509" s="70"/>
      <c r="F509" s="66"/>
    </row>
    <row r="510" spans="2:6" ht="21" customHeight="1">
      <c r="B510" s="70"/>
      <c r="F510" s="66"/>
    </row>
    <row r="511" spans="2:6" ht="21" customHeight="1">
      <c r="B511" s="70"/>
      <c r="F511" s="66"/>
    </row>
    <row r="512" spans="2:6" ht="21" customHeight="1">
      <c r="B512" s="70"/>
      <c r="F512" s="66"/>
    </row>
    <row r="513" spans="2:6" ht="21" customHeight="1">
      <c r="B513" s="70"/>
      <c r="F513" s="66"/>
    </row>
    <row r="514" spans="2:6" ht="21" customHeight="1">
      <c r="B514" s="70"/>
      <c r="F514" s="66"/>
    </row>
    <row r="515" spans="2:6" ht="21" customHeight="1">
      <c r="B515" s="70"/>
      <c r="F515" s="66"/>
    </row>
    <row r="516" spans="2:6" ht="21" customHeight="1">
      <c r="B516" s="70"/>
      <c r="F516" s="66"/>
    </row>
    <row r="517" spans="2:6" ht="21" customHeight="1">
      <c r="B517" s="70"/>
      <c r="F517" s="66"/>
    </row>
    <row r="518" spans="2:6" ht="21" customHeight="1">
      <c r="B518" s="70"/>
      <c r="F518" s="66"/>
    </row>
    <row r="519" spans="2:6" ht="21" customHeight="1">
      <c r="B519" s="70"/>
      <c r="F519" s="66"/>
    </row>
    <row r="520" spans="2:6" ht="21" customHeight="1">
      <c r="B520" s="70"/>
      <c r="F520" s="66"/>
    </row>
    <row r="521" spans="2:6" ht="21" customHeight="1">
      <c r="B521" s="70"/>
      <c r="F521" s="66"/>
    </row>
    <row r="522" spans="2:6" ht="21" customHeight="1">
      <c r="B522" s="70"/>
      <c r="F522" s="66"/>
    </row>
    <row r="523" spans="2:6" ht="21" customHeight="1">
      <c r="B523" s="70"/>
      <c r="F523" s="66"/>
    </row>
    <row r="524" spans="2:6" ht="21" customHeight="1">
      <c r="B524" s="70"/>
      <c r="F524" s="66"/>
    </row>
    <row r="525" spans="2:6" ht="21" customHeight="1">
      <c r="B525" s="70"/>
      <c r="F525" s="66"/>
    </row>
    <row r="526" spans="2:6" ht="21" customHeight="1">
      <c r="B526" s="70"/>
      <c r="F526" s="66"/>
    </row>
    <row r="527" spans="2:6" ht="21" customHeight="1">
      <c r="B527" s="70"/>
      <c r="F527" s="66"/>
    </row>
    <row r="528" spans="2:6" ht="21" customHeight="1">
      <c r="B528" s="70"/>
      <c r="F528" s="66"/>
    </row>
    <row r="529" spans="2:6" ht="21" customHeight="1">
      <c r="B529" s="70"/>
      <c r="F529" s="66"/>
    </row>
    <row r="530" spans="2:6" ht="21" customHeight="1">
      <c r="B530" s="70"/>
      <c r="F530" s="66"/>
    </row>
    <row r="531" spans="2:6" ht="21" customHeight="1">
      <c r="B531" s="70"/>
      <c r="F531" s="66"/>
    </row>
    <row r="532" spans="2:6" ht="21" customHeight="1">
      <c r="B532" s="70"/>
      <c r="F532" s="66"/>
    </row>
    <row r="533" spans="2:6" ht="21" customHeight="1">
      <c r="B533" s="70"/>
      <c r="F533" s="66"/>
    </row>
    <row r="534" spans="2:6" ht="21" customHeight="1">
      <c r="B534" s="70"/>
      <c r="F534" s="66"/>
    </row>
    <row r="535" spans="2:6" ht="21" customHeight="1">
      <c r="B535" s="70"/>
      <c r="F535" s="66"/>
    </row>
    <row r="536" spans="2:6" ht="21" customHeight="1">
      <c r="B536" s="70"/>
      <c r="F536" s="66"/>
    </row>
    <row r="537" spans="2:6" ht="21" customHeight="1">
      <c r="B537" s="70"/>
      <c r="F537" s="66"/>
    </row>
    <row r="538" spans="2:6" ht="21" customHeight="1">
      <c r="B538" s="70"/>
      <c r="F538" s="66"/>
    </row>
    <row r="539" spans="2:6" ht="21" customHeight="1">
      <c r="B539" s="70"/>
      <c r="F539" s="66"/>
    </row>
    <row r="540" spans="2:6" ht="21" customHeight="1">
      <c r="B540" s="70"/>
      <c r="F540" s="66"/>
    </row>
    <row r="541" spans="2:6" ht="21" customHeight="1">
      <c r="B541" s="70"/>
      <c r="F541" s="66"/>
    </row>
    <row r="542" spans="2:6" ht="21" customHeight="1">
      <c r="B542" s="70"/>
      <c r="F542" s="66"/>
    </row>
    <row r="543" spans="2:6" ht="21" customHeight="1">
      <c r="B543" s="70"/>
      <c r="F543" s="66"/>
    </row>
    <row r="544" spans="2:6" ht="21" customHeight="1">
      <c r="B544" s="70"/>
      <c r="F544" s="66"/>
    </row>
    <row r="545" spans="2:6" ht="21" customHeight="1">
      <c r="B545" s="70"/>
      <c r="F545" s="66"/>
    </row>
    <row r="546" spans="2:6" ht="21" customHeight="1">
      <c r="B546" s="70"/>
      <c r="F546" s="66"/>
    </row>
    <row r="547" spans="2:6" ht="21" customHeight="1">
      <c r="B547" s="70"/>
      <c r="F547" s="66"/>
    </row>
    <row r="548" spans="2:6" ht="21" customHeight="1">
      <c r="B548" s="70"/>
      <c r="F548" s="66"/>
    </row>
    <row r="549" spans="2:6" ht="21" customHeight="1">
      <c r="B549" s="70"/>
      <c r="F549" s="66"/>
    </row>
    <row r="550" spans="2:6" ht="21" customHeight="1">
      <c r="B550" s="70"/>
      <c r="F550" s="66"/>
    </row>
    <row r="551" spans="2:6" ht="21" customHeight="1">
      <c r="B551" s="70"/>
      <c r="F551" s="66"/>
    </row>
    <row r="552" spans="2:6" ht="21" customHeight="1">
      <c r="B552" s="70"/>
      <c r="F552" s="66"/>
    </row>
    <row r="553" spans="2:6" ht="21" customHeight="1">
      <c r="B553" s="70"/>
      <c r="F553" s="66"/>
    </row>
    <row r="554" spans="2:6" ht="21" customHeight="1">
      <c r="B554" s="70"/>
      <c r="F554" s="66"/>
    </row>
    <row r="555" spans="2:6" ht="21" customHeight="1">
      <c r="B555" s="70"/>
      <c r="F555" s="66"/>
    </row>
    <row r="556" spans="2:6" ht="21" customHeight="1">
      <c r="B556" s="70"/>
      <c r="F556" s="66"/>
    </row>
    <row r="557" spans="2:6" ht="21" customHeight="1">
      <c r="B557" s="70"/>
      <c r="F557" s="66"/>
    </row>
    <row r="558" spans="2:6" ht="21" customHeight="1">
      <c r="B558" s="70"/>
      <c r="F558" s="66"/>
    </row>
    <row r="559" spans="2:6" ht="21" customHeight="1">
      <c r="B559" s="70"/>
      <c r="F559" s="66"/>
    </row>
    <row r="560" spans="2:6" ht="21" customHeight="1">
      <c r="B560" s="70"/>
      <c r="F560" s="66"/>
    </row>
    <row r="561" spans="2:6" ht="21" customHeight="1">
      <c r="B561" s="70"/>
      <c r="F561" s="66"/>
    </row>
    <row r="562" spans="2:6" ht="21" customHeight="1">
      <c r="B562" s="70"/>
      <c r="F562" s="66"/>
    </row>
    <row r="563" spans="2:6" ht="21" customHeight="1">
      <c r="B563" s="70"/>
      <c r="F563" s="66"/>
    </row>
    <row r="564" spans="2:6" ht="21" customHeight="1">
      <c r="B564" s="70"/>
      <c r="F564" s="66"/>
    </row>
    <row r="565" spans="2:6" ht="21" customHeight="1">
      <c r="B565" s="70"/>
      <c r="F565" s="66"/>
    </row>
    <row r="566" spans="2:6" ht="21" customHeight="1">
      <c r="B566" s="70"/>
      <c r="F566" s="66"/>
    </row>
    <row r="567" spans="2:6" ht="21" customHeight="1">
      <c r="B567" s="70"/>
      <c r="F567" s="66"/>
    </row>
    <row r="568" spans="2:6" ht="21" customHeight="1">
      <c r="B568" s="70"/>
      <c r="F568" s="66"/>
    </row>
    <row r="569" spans="2:6" ht="21" customHeight="1">
      <c r="B569" s="70"/>
      <c r="F569" s="66"/>
    </row>
    <row r="570" spans="2:6" ht="21" customHeight="1">
      <c r="B570" s="70"/>
      <c r="F570" s="66"/>
    </row>
    <row r="571" spans="2:6" ht="21" customHeight="1">
      <c r="B571" s="70"/>
      <c r="F571" s="66"/>
    </row>
    <row r="572" spans="2:6" ht="21" customHeight="1">
      <c r="B572" s="70"/>
      <c r="F572" s="66"/>
    </row>
    <row r="573" spans="2:6" ht="21" customHeight="1">
      <c r="B573" s="70"/>
      <c r="F573" s="66"/>
    </row>
    <row r="574" spans="2:6" ht="21" customHeight="1">
      <c r="B574" s="70"/>
      <c r="F574" s="66"/>
    </row>
    <row r="575" spans="2:6" ht="21" customHeight="1">
      <c r="B575" s="70"/>
      <c r="F575" s="66"/>
    </row>
    <row r="576" spans="2:6" ht="21" customHeight="1">
      <c r="B576" s="70"/>
      <c r="F576" s="66"/>
    </row>
    <row r="577" spans="2:6" ht="21" customHeight="1">
      <c r="B577" s="70"/>
      <c r="F577" s="66"/>
    </row>
    <row r="578" spans="2:6" ht="21" customHeight="1">
      <c r="B578" s="70"/>
      <c r="F578" s="66"/>
    </row>
    <row r="579" spans="2:6" ht="21" customHeight="1">
      <c r="B579" s="70"/>
      <c r="F579" s="66"/>
    </row>
    <row r="580" spans="2:6" ht="21" customHeight="1">
      <c r="B580" s="70"/>
      <c r="F580" s="66"/>
    </row>
    <row r="581" spans="2:6" ht="21" customHeight="1">
      <c r="B581" s="70"/>
      <c r="F581" s="66"/>
    </row>
    <row r="582" spans="2:6" ht="21" customHeight="1">
      <c r="B582" s="70"/>
      <c r="F582" s="66"/>
    </row>
    <row r="583" spans="2:6" ht="21" customHeight="1">
      <c r="B583" s="70"/>
      <c r="F583" s="66"/>
    </row>
    <row r="584" spans="2:6" ht="21" customHeight="1">
      <c r="B584" s="70"/>
      <c r="F584" s="66"/>
    </row>
    <row r="585" spans="2:6" ht="21" customHeight="1">
      <c r="B585" s="70"/>
      <c r="F585" s="66"/>
    </row>
    <row r="586" spans="2:6" ht="21" customHeight="1">
      <c r="B586" s="70"/>
      <c r="F586" s="66"/>
    </row>
    <row r="587" spans="2:6" ht="21" customHeight="1">
      <c r="B587" s="70"/>
      <c r="F587" s="66"/>
    </row>
    <row r="588" spans="2:6" ht="21" customHeight="1">
      <c r="B588" s="70"/>
      <c r="F588" s="66"/>
    </row>
    <row r="589" spans="2:6" ht="21" customHeight="1">
      <c r="B589" s="70"/>
      <c r="F589" s="66"/>
    </row>
    <row r="590" spans="2:6" ht="21" customHeight="1">
      <c r="B590" s="70"/>
      <c r="F590" s="66"/>
    </row>
    <row r="591" spans="2:6" ht="21" customHeight="1">
      <c r="B591" s="70"/>
      <c r="F591" s="66"/>
    </row>
    <row r="592" spans="2:6" ht="21" customHeight="1">
      <c r="B592" s="70"/>
      <c r="F592" s="66"/>
    </row>
    <row r="593" spans="2:6" ht="21" customHeight="1">
      <c r="B593" s="70"/>
      <c r="F593" s="66"/>
    </row>
    <row r="594" spans="2:6" ht="21" customHeight="1">
      <c r="B594" s="70"/>
      <c r="F594" s="66"/>
    </row>
    <row r="595" spans="2:6" ht="21" customHeight="1">
      <c r="B595" s="70"/>
      <c r="F595" s="66"/>
    </row>
    <row r="596" spans="2:6" ht="21" customHeight="1">
      <c r="B596" s="70"/>
      <c r="F596" s="66"/>
    </row>
    <row r="597" spans="2:6" ht="21" customHeight="1">
      <c r="B597" s="70"/>
      <c r="F597" s="66"/>
    </row>
    <row r="598" spans="2:6" ht="21" customHeight="1">
      <c r="B598" s="70"/>
      <c r="F598" s="66"/>
    </row>
    <row r="599" spans="2:6" ht="21" customHeight="1">
      <c r="B599" s="70"/>
      <c r="F599" s="66"/>
    </row>
    <row r="600" spans="2:6" ht="21" customHeight="1">
      <c r="B600" s="70"/>
      <c r="F600" s="66"/>
    </row>
    <row r="601" spans="2:6" ht="21" customHeight="1">
      <c r="B601" s="70"/>
      <c r="F601" s="66"/>
    </row>
    <row r="602" spans="2:6" ht="21" customHeight="1">
      <c r="B602" s="70"/>
      <c r="F602" s="66"/>
    </row>
    <row r="603" spans="2:6" ht="21" customHeight="1">
      <c r="B603" s="70"/>
      <c r="F603" s="66"/>
    </row>
    <row r="604" spans="2:6" ht="21" customHeight="1">
      <c r="B604" s="70"/>
      <c r="F604" s="66"/>
    </row>
    <row r="605" spans="2:6" ht="21" customHeight="1">
      <c r="B605" s="70"/>
      <c r="F605" s="66"/>
    </row>
    <row r="606" spans="2:6" ht="21" customHeight="1">
      <c r="B606" s="70"/>
      <c r="F606" s="66"/>
    </row>
    <row r="607" spans="2:6" ht="21" customHeight="1">
      <c r="B607" s="70"/>
      <c r="F607" s="66"/>
    </row>
    <row r="608" spans="2:6" ht="21" customHeight="1">
      <c r="B608" s="70"/>
      <c r="F608" s="66"/>
    </row>
    <row r="609" spans="2:6" ht="21" customHeight="1">
      <c r="B609" s="70"/>
      <c r="F609" s="66"/>
    </row>
    <row r="610" spans="2:6" ht="21" customHeight="1">
      <c r="B610" s="70"/>
      <c r="F610" s="66"/>
    </row>
    <row r="611" spans="2:6" ht="21" customHeight="1">
      <c r="B611" s="70"/>
      <c r="F611" s="66"/>
    </row>
    <row r="612" spans="2:6" ht="21" customHeight="1">
      <c r="B612" s="70"/>
      <c r="F612" s="66"/>
    </row>
    <row r="613" spans="2:6" ht="21" customHeight="1">
      <c r="B613" s="70"/>
      <c r="F613" s="66"/>
    </row>
    <row r="614" spans="2:6" ht="21" customHeight="1">
      <c r="B614" s="70"/>
      <c r="F614" s="66"/>
    </row>
    <row r="615" spans="2:6" ht="21" customHeight="1">
      <c r="B615" s="70"/>
      <c r="F615" s="66"/>
    </row>
    <row r="616" spans="2:6" ht="21" customHeight="1">
      <c r="B616" s="70"/>
      <c r="F616" s="66"/>
    </row>
    <row r="617" spans="2:6" ht="21" customHeight="1">
      <c r="B617" s="70"/>
      <c r="F617" s="66"/>
    </row>
    <row r="618" spans="2:6" ht="21" customHeight="1">
      <c r="B618" s="70"/>
      <c r="F618" s="66"/>
    </row>
    <row r="619" spans="2:6" ht="21" customHeight="1">
      <c r="B619" s="70"/>
      <c r="F619" s="66"/>
    </row>
    <row r="620" spans="2:6" ht="21" customHeight="1">
      <c r="B620" s="70"/>
      <c r="F620" s="66"/>
    </row>
    <row r="621" spans="2:6" ht="21" customHeight="1">
      <c r="B621" s="70"/>
      <c r="F621" s="66"/>
    </row>
    <row r="622" spans="2:6" ht="21" customHeight="1">
      <c r="B622" s="70"/>
      <c r="F622" s="66"/>
    </row>
    <row r="623" spans="2:6" ht="21" customHeight="1">
      <c r="B623" s="70"/>
      <c r="F623" s="66"/>
    </row>
    <row r="624" spans="2:6" ht="21" customHeight="1">
      <c r="B624" s="70"/>
      <c r="F624" s="66"/>
    </row>
    <row r="625" spans="2:6" ht="21" customHeight="1">
      <c r="B625" s="70"/>
      <c r="F625" s="66"/>
    </row>
    <row r="626" spans="2:6" ht="21" customHeight="1">
      <c r="B626" s="70"/>
      <c r="F626" s="66"/>
    </row>
    <row r="627" spans="2:6" ht="21" customHeight="1">
      <c r="B627" s="70"/>
      <c r="F627" s="66"/>
    </row>
    <row r="628" spans="2:6" ht="21" customHeight="1">
      <c r="B628" s="70"/>
      <c r="F628" s="66"/>
    </row>
    <row r="629" spans="2:6" ht="21" customHeight="1">
      <c r="B629" s="70"/>
      <c r="F629" s="66"/>
    </row>
    <row r="630" spans="2:6" ht="21" customHeight="1">
      <c r="B630" s="70"/>
      <c r="F630" s="66"/>
    </row>
    <row r="631" spans="2:6" ht="21" customHeight="1">
      <c r="B631" s="70"/>
      <c r="F631" s="66"/>
    </row>
    <row r="632" spans="2:6" ht="21" customHeight="1">
      <c r="B632" s="70"/>
      <c r="F632" s="66"/>
    </row>
    <row r="633" spans="2:6" ht="21" customHeight="1">
      <c r="B633" s="70"/>
      <c r="F633" s="66"/>
    </row>
    <row r="634" spans="2:6" ht="21" customHeight="1">
      <c r="B634" s="70"/>
      <c r="F634" s="66"/>
    </row>
    <row r="635" spans="2:6" ht="21" customHeight="1">
      <c r="B635" s="70"/>
      <c r="F635" s="66"/>
    </row>
    <row r="636" spans="2:6" ht="21" customHeight="1">
      <c r="B636" s="70"/>
      <c r="F636" s="66"/>
    </row>
    <row r="637" spans="2:6" ht="21" customHeight="1">
      <c r="B637" s="70"/>
      <c r="F637" s="66"/>
    </row>
    <row r="638" spans="2:6" ht="21" customHeight="1">
      <c r="B638" s="70"/>
      <c r="F638" s="66"/>
    </row>
    <row r="639" spans="2:6" ht="21" customHeight="1">
      <c r="B639" s="70"/>
      <c r="F639" s="66"/>
    </row>
    <row r="640" spans="2:6" ht="21" customHeight="1">
      <c r="B640" s="70"/>
      <c r="F640" s="66"/>
    </row>
    <row r="641" spans="2:6" ht="21" customHeight="1">
      <c r="B641" s="70"/>
      <c r="F641" s="66"/>
    </row>
    <row r="642" spans="2:6" ht="21" customHeight="1">
      <c r="B642" s="70"/>
      <c r="F642" s="66"/>
    </row>
    <row r="643" spans="2:6" ht="21" customHeight="1">
      <c r="B643" s="70"/>
      <c r="F643" s="66"/>
    </row>
    <row r="644" spans="2:6" ht="21" customHeight="1">
      <c r="B644" s="70"/>
      <c r="F644" s="66"/>
    </row>
    <row r="645" spans="2:6" ht="21" customHeight="1">
      <c r="B645" s="70"/>
      <c r="F645" s="66"/>
    </row>
    <row r="646" spans="2:6" ht="21" customHeight="1">
      <c r="B646" s="70"/>
      <c r="F646" s="66"/>
    </row>
    <row r="647" spans="2:6" ht="21" customHeight="1">
      <c r="B647" s="70"/>
      <c r="F647" s="66"/>
    </row>
    <row r="648" spans="2:6" ht="21" customHeight="1">
      <c r="B648" s="70"/>
      <c r="F648" s="66"/>
    </row>
    <row r="649" spans="2:6" ht="21" customHeight="1">
      <c r="B649" s="70"/>
      <c r="F649" s="66"/>
    </row>
    <row r="650" spans="2:6" ht="21" customHeight="1">
      <c r="B650" s="70"/>
      <c r="F650" s="66"/>
    </row>
    <row r="651" spans="2:6" ht="21" customHeight="1">
      <c r="B651" s="70"/>
      <c r="F651" s="66"/>
    </row>
    <row r="652" spans="2:6" ht="21" customHeight="1">
      <c r="B652" s="70"/>
      <c r="F652" s="66"/>
    </row>
    <row r="653" spans="2:6" ht="21" customHeight="1">
      <c r="B653" s="70"/>
      <c r="F653" s="66"/>
    </row>
    <row r="654" spans="2:6" ht="21" customHeight="1">
      <c r="B654" s="70"/>
      <c r="F654" s="66"/>
    </row>
    <row r="655" spans="2:6" ht="21" customHeight="1">
      <c r="B655" s="70"/>
      <c r="F655" s="66"/>
    </row>
    <row r="656" spans="2:6" ht="21" customHeight="1">
      <c r="B656" s="70"/>
      <c r="F656" s="66"/>
    </row>
    <row r="657" spans="2:6" ht="21" customHeight="1">
      <c r="B657" s="70"/>
      <c r="F657" s="66"/>
    </row>
    <row r="658" spans="2:6" ht="21" customHeight="1">
      <c r="B658" s="70"/>
      <c r="F658" s="66"/>
    </row>
    <row r="659" spans="2:6" ht="21" customHeight="1">
      <c r="B659" s="70"/>
      <c r="F659" s="66"/>
    </row>
    <row r="660" spans="2:6" ht="21" customHeight="1">
      <c r="B660" s="70"/>
      <c r="F660" s="66"/>
    </row>
    <row r="661" spans="2:6" ht="21" customHeight="1">
      <c r="B661" s="70"/>
      <c r="F661" s="66"/>
    </row>
    <row r="662" spans="2:6" ht="21" customHeight="1">
      <c r="B662" s="70"/>
      <c r="F662" s="66"/>
    </row>
    <row r="663" spans="2:6" ht="21" customHeight="1">
      <c r="B663" s="70"/>
      <c r="F663" s="66"/>
    </row>
    <row r="664" spans="2:6" ht="21" customHeight="1">
      <c r="B664" s="70"/>
      <c r="F664" s="66"/>
    </row>
    <row r="665" spans="2:6" ht="21" customHeight="1">
      <c r="B665" s="70"/>
      <c r="F665" s="66"/>
    </row>
    <row r="666" spans="2:6" ht="21" customHeight="1">
      <c r="B666" s="70"/>
      <c r="F666" s="66"/>
    </row>
    <row r="667" spans="2:6" ht="21" customHeight="1">
      <c r="B667" s="70"/>
      <c r="F667" s="66"/>
    </row>
    <row r="668" spans="2:6" ht="21" customHeight="1">
      <c r="B668" s="70"/>
      <c r="F668" s="66"/>
    </row>
    <row r="669" spans="2:6" ht="21" customHeight="1">
      <c r="B669" s="70"/>
      <c r="F669" s="66"/>
    </row>
    <row r="670" spans="2:6" ht="21" customHeight="1">
      <c r="B670" s="70"/>
      <c r="F670" s="66"/>
    </row>
    <row r="671" spans="2:6" ht="21" customHeight="1">
      <c r="B671" s="70"/>
      <c r="F671" s="66"/>
    </row>
    <row r="672" spans="2:6" ht="21" customHeight="1">
      <c r="B672" s="70"/>
      <c r="F672" s="66"/>
    </row>
    <row r="673" spans="2:6" ht="21" customHeight="1">
      <c r="B673" s="70"/>
      <c r="F673" s="66"/>
    </row>
    <row r="674" spans="2:6" ht="21" customHeight="1">
      <c r="B674" s="70"/>
      <c r="F674" s="66"/>
    </row>
    <row r="675" spans="2:6" ht="21" customHeight="1">
      <c r="B675" s="70"/>
      <c r="F675" s="66"/>
    </row>
    <row r="676" spans="2:6" ht="21" customHeight="1">
      <c r="B676" s="70"/>
      <c r="F676" s="66"/>
    </row>
    <row r="677" spans="2:6" ht="21" customHeight="1">
      <c r="B677" s="70"/>
      <c r="F677" s="66"/>
    </row>
    <row r="678" spans="2:6" ht="21" customHeight="1">
      <c r="B678" s="70"/>
      <c r="F678" s="66"/>
    </row>
    <row r="679" spans="2:6" ht="21" customHeight="1">
      <c r="B679" s="70"/>
      <c r="F679" s="66"/>
    </row>
    <row r="680" spans="2:6" ht="21" customHeight="1">
      <c r="B680" s="70"/>
      <c r="F680" s="66"/>
    </row>
    <row r="681" spans="2:6" ht="21" customHeight="1">
      <c r="B681" s="70"/>
      <c r="F681" s="66"/>
    </row>
    <row r="682" spans="2:6" ht="21" customHeight="1">
      <c r="B682" s="70"/>
      <c r="F682" s="66"/>
    </row>
    <row r="683" spans="2:6" ht="21" customHeight="1">
      <c r="B683" s="70"/>
      <c r="F683" s="66"/>
    </row>
    <row r="684" spans="2:6" ht="21" customHeight="1">
      <c r="B684" s="70"/>
      <c r="F684" s="66"/>
    </row>
    <row r="685" spans="2:6" ht="21" customHeight="1">
      <c r="B685" s="70"/>
      <c r="F685" s="66"/>
    </row>
    <row r="686" spans="2:6" ht="21" customHeight="1">
      <c r="B686" s="70"/>
      <c r="F686" s="66"/>
    </row>
    <row r="687" spans="2:6" ht="21" customHeight="1">
      <c r="B687" s="70"/>
      <c r="F687" s="66"/>
    </row>
    <row r="688" spans="2:6" ht="21" customHeight="1">
      <c r="B688" s="70"/>
      <c r="F688" s="66"/>
    </row>
    <row r="689" spans="2:6" ht="21" customHeight="1">
      <c r="B689" s="70"/>
      <c r="F689" s="66"/>
    </row>
    <row r="690" spans="2:6" ht="21" customHeight="1">
      <c r="B690" s="70"/>
      <c r="F690" s="66"/>
    </row>
    <row r="691" spans="2:6" ht="21" customHeight="1">
      <c r="B691" s="70"/>
      <c r="F691" s="66"/>
    </row>
    <row r="692" spans="2:6" ht="21" customHeight="1">
      <c r="B692" s="70"/>
      <c r="F692" s="66"/>
    </row>
    <row r="693" spans="2:6" ht="21" customHeight="1">
      <c r="B693" s="70"/>
      <c r="F693" s="66"/>
    </row>
    <row r="694" spans="2:6" ht="21" customHeight="1">
      <c r="B694" s="70"/>
      <c r="F694" s="66"/>
    </row>
    <row r="695" spans="2:6" ht="21" customHeight="1">
      <c r="B695" s="70"/>
      <c r="F695" s="66"/>
    </row>
    <row r="696" spans="2:6" ht="21" customHeight="1">
      <c r="B696" s="70"/>
      <c r="F696" s="66"/>
    </row>
    <row r="697" spans="2:6" ht="21" customHeight="1">
      <c r="B697" s="70"/>
      <c r="F697" s="66"/>
    </row>
    <row r="698" spans="2:6" ht="21" customHeight="1">
      <c r="B698" s="70"/>
      <c r="F698" s="66"/>
    </row>
    <row r="699" spans="2:6" ht="21" customHeight="1">
      <c r="B699" s="70"/>
      <c r="F699" s="66"/>
    </row>
    <row r="700" spans="2:6" ht="21" customHeight="1">
      <c r="B700" s="70"/>
      <c r="F700" s="66"/>
    </row>
    <row r="701" spans="2:6" ht="21" customHeight="1">
      <c r="B701" s="70"/>
      <c r="F701" s="66"/>
    </row>
    <row r="702" spans="2:6" ht="21" customHeight="1">
      <c r="B702" s="70"/>
      <c r="F702" s="66"/>
    </row>
    <row r="703" spans="2:6" ht="21" customHeight="1">
      <c r="B703" s="70"/>
      <c r="F703" s="66"/>
    </row>
    <row r="704" spans="2:6" ht="21" customHeight="1">
      <c r="B704" s="70"/>
      <c r="F704" s="66"/>
    </row>
    <row r="705" spans="2:6" ht="21" customHeight="1">
      <c r="B705" s="70"/>
      <c r="F705" s="66"/>
    </row>
    <row r="706" spans="2:6" ht="21" customHeight="1">
      <c r="B706" s="70"/>
      <c r="F706" s="66"/>
    </row>
    <row r="707" spans="2:6" ht="21" customHeight="1">
      <c r="B707" s="70"/>
      <c r="F707" s="66"/>
    </row>
    <row r="708" spans="2:6" ht="21" customHeight="1">
      <c r="B708" s="70"/>
      <c r="F708" s="66"/>
    </row>
    <row r="709" spans="2:6" ht="21" customHeight="1">
      <c r="B709" s="70"/>
      <c r="F709" s="66"/>
    </row>
    <row r="710" spans="2:6" ht="21" customHeight="1">
      <c r="B710" s="70"/>
      <c r="F710" s="66"/>
    </row>
    <row r="711" spans="2:6" ht="21" customHeight="1">
      <c r="B711" s="70"/>
      <c r="F711" s="66"/>
    </row>
    <row r="712" spans="2:6" ht="21" customHeight="1">
      <c r="B712" s="70"/>
      <c r="F712" s="66"/>
    </row>
    <row r="713" spans="2:6" ht="21" customHeight="1">
      <c r="B713" s="70"/>
      <c r="F713" s="66"/>
    </row>
    <row r="714" spans="2:6" ht="21" customHeight="1">
      <c r="B714" s="70"/>
      <c r="F714" s="66"/>
    </row>
    <row r="715" spans="2:6" ht="21" customHeight="1">
      <c r="B715" s="70"/>
      <c r="F715" s="66"/>
    </row>
    <row r="716" spans="2:6" ht="21" customHeight="1">
      <c r="B716" s="70"/>
      <c r="F716" s="66"/>
    </row>
    <row r="717" spans="2:6" ht="21" customHeight="1">
      <c r="B717" s="70"/>
      <c r="F717" s="66"/>
    </row>
    <row r="718" spans="2:6" ht="21" customHeight="1">
      <c r="B718" s="70"/>
      <c r="F718" s="66"/>
    </row>
    <row r="719" spans="2:6" ht="21" customHeight="1">
      <c r="B719" s="70"/>
      <c r="F719" s="66"/>
    </row>
    <row r="720" spans="2:6" ht="21" customHeight="1">
      <c r="B720" s="70"/>
      <c r="F720" s="66"/>
    </row>
    <row r="721" spans="2:6" ht="21" customHeight="1">
      <c r="B721" s="70"/>
      <c r="F721" s="66"/>
    </row>
    <row r="722" spans="2:6" ht="21" customHeight="1">
      <c r="B722" s="70"/>
      <c r="F722" s="66"/>
    </row>
    <row r="723" spans="2:6" ht="21" customHeight="1">
      <c r="B723" s="70"/>
      <c r="F723" s="66"/>
    </row>
    <row r="724" spans="2:6" ht="21" customHeight="1">
      <c r="B724" s="70"/>
      <c r="F724" s="66"/>
    </row>
    <row r="725" spans="2:6" ht="21" customHeight="1">
      <c r="B725" s="70"/>
      <c r="F725" s="66"/>
    </row>
    <row r="726" spans="2:6" ht="21" customHeight="1">
      <c r="B726" s="70"/>
      <c r="F726" s="66"/>
    </row>
    <row r="727" spans="2:6" ht="21" customHeight="1">
      <c r="B727" s="70"/>
      <c r="F727" s="66"/>
    </row>
    <row r="728" spans="2:6" ht="21" customHeight="1">
      <c r="B728" s="70"/>
      <c r="F728" s="66"/>
    </row>
    <row r="729" spans="2:6" ht="21" customHeight="1">
      <c r="B729" s="70"/>
      <c r="F729" s="66"/>
    </row>
    <row r="730" spans="2:6" ht="21" customHeight="1">
      <c r="B730" s="70"/>
      <c r="F730" s="66"/>
    </row>
    <row r="731" spans="2:6" ht="21" customHeight="1">
      <c r="B731" s="70"/>
      <c r="F731" s="66"/>
    </row>
    <row r="732" spans="2:6" ht="21" customHeight="1">
      <c r="B732" s="70"/>
      <c r="F732" s="66"/>
    </row>
    <row r="733" spans="2:6" ht="21" customHeight="1">
      <c r="B733" s="70"/>
      <c r="F733" s="66"/>
    </row>
    <row r="734" spans="2:6" ht="21" customHeight="1">
      <c r="B734" s="70"/>
      <c r="F734" s="66"/>
    </row>
    <row r="735" spans="2:6" ht="21" customHeight="1">
      <c r="B735" s="70"/>
      <c r="F735" s="66"/>
    </row>
    <row r="736" spans="2:6" ht="21" customHeight="1">
      <c r="B736" s="70"/>
      <c r="F736" s="66"/>
    </row>
    <row r="737" spans="2:6" ht="21" customHeight="1">
      <c r="B737" s="70"/>
      <c r="F737" s="66"/>
    </row>
    <row r="738" spans="2:6" ht="21" customHeight="1">
      <c r="B738" s="70"/>
      <c r="F738" s="66"/>
    </row>
    <row r="739" spans="2:6" ht="21" customHeight="1">
      <c r="B739" s="70"/>
      <c r="F739" s="66"/>
    </row>
    <row r="740" spans="2:6" ht="21" customHeight="1">
      <c r="B740" s="70"/>
      <c r="F740" s="66"/>
    </row>
    <row r="741" spans="2:6" ht="21" customHeight="1">
      <c r="B741" s="70"/>
      <c r="F741" s="66"/>
    </row>
    <row r="742" spans="2:6" ht="21" customHeight="1">
      <c r="B742" s="70"/>
      <c r="F742" s="66"/>
    </row>
    <row r="743" spans="2:6" ht="21" customHeight="1">
      <c r="B743" s="70"/>
      <c r="F743" s="66"/>
    </row>
    <row r="744" spans="2:6" ht="21" customHeight="1">
      <c r="B744" s="70"/>
      <c r="F744" s="66"/>
    </row>
    <row r="745" spans="2:6" ht="21" customHeight="1">
      <c r="B745" s="70"/>
      <c r="F745" s="66"/>
    </row>
    <row r="746" spans="2:6" ht="21" customHeight="1">
      <c r="B746" s="70"/>
      <c r="F746" s="66"/>
    </row>
    <row r="747" spans="2:6" ht="21" customHeight="1">
      <c r="B747" s="70"/>
      <c r="F747" s="66"/>
    </row>
    <row r="748" spans="2:6" ht="21" customHeight="1">
      <c r="B748" s="70"/>
      <c r="F748" s="66"/>
    </row>
    <row r="749" spans="2:6" ht="21" customHeight="1">
      <c r="B749" s="70"/>
      <c r="F749" s="66"/>
    </row>
    <row r="750" spans="2:6" ht="21" customHeight="1">
      <c r="B750" s="70"/>
      <c r="F750" s="66"/>
    </row>
    <row r="751" spans="2:6" ht="21" customHeight="1">
      <c r="B751" s="70"/>
      <c r="F751" s="66"/>
    </row>
    <row r="752" spans="2:6" ht="21" customHeight="1">
      <c r="B752" s="70"/>
      <c r="F752" s="66"/>
    </row>
    <row r="753" spans="2:6" ht="21" customHeight="1">
      <c r="B753" s="70"/>
      <c r="F753" s="66"/>
    </row>
    <row r="754" spans="2:6" ht="21" customHeight="1">
      <c r="B754" s="70"/>
      <c r="F754" s="66"/>
    </row>
    <row r="755" spans="2:6" ht="21" customHeight="1">
      <c r="B755" s="70"/>
      <c r="F755" s="66"/>
    </row>
    <row r="756" spans="2:6" ht="21" customHeight="1">
      <c r="B756" s="70"/>
      <c r="F756" s="66"/>
    </row>
    <row r="757" spans="2:6" ht="21" customHeight="1">
      <c r="B757" s="70"/>
      <c r="F757" s="66"/>
    </row>
    <row r="758" spans="2:6" ht="21" customHeight="1">
      <c r="B758" s="70"/>
      <c r="F758" s="66"/>
    </row>
    <row r="759" spans="2:6" ht="21" customHeight="1">
      <c r="B759" s="70"/>
      <c r="F759" s="66"/>
    </row>
    <row r="760" spans="2:6" ht="21" customHeight="1">
      <c r="B760" s="70"/>
      <c r="F760" s="66"/>
    </row>
    <row r="761" spans="2:6" ht="21" customHeight="1">
      <c r="B761" s="70"/>
      <c r="F761" s="66"/>
    </row>
    <row r="762" spans="2:6" ht="21" customHeight="1">
      <c r="B762" s="70"/>
      <c r="F762" s="66"/>
    </row>
    <row r="763" spans="2:6" ht="21" customHeight="1">
      <c r="B763" s="70"/>
      <c r="F763" s="66"/>
    </row>
    <row r="764" spans="2:6" ht="21" customHeight="1">
      <c r="B764" s="70"/>
      <c r="F764" s="66"/>
    </row>
    <row r="765" spans="2:6" ht="21" customHeight="1">
      <c r="B765" s="70"/>
      <c r="F765" s="66"/>
    </row>
    <row r="766" spans="2:6" ht="21" customHeight="1">
      <c r="B766" s="70"/>
      <c r="F766" s="66"/>
    </row>
    <row r="767" spans="2:6" ht="21" customHeight="1">
      <c r="B767" s="70"/>
      <c r="F767" s="66"/>
    </row>
    <row r="768" spans="2:6" ht="21" customHeight="1">
      <c r="B768" s="70"/>
      <c r="F768" s="66"/>
    </row>
    <row r="769" spans="2:6" ht="21" customHeight="1">
      <c r="B769" s="70"/>
      <c r="F769" s="66"/>
    </row>
    <row r="770" spans="2:6" ht="21" customHeight="1">
      <c r="B770" s="70"/>
      <c r="F770" s="66"/>
    </row>
    <row r="771" spans="2:6" ht="21" customHeight="1">
      <c r="B771" s="70"/>
      <c r="F771" s="66"/>
    </row>
    <row r="772" spans="2:6" ht="21" customHeight="1">
      <c r="B772" s="70"/>
      <c r="F772" s="66"/>
    </row>
    <row r="773" spans="2:6" ht="21" customHeight="1">
      <c r="B773" s="70"/>
      <c r="F773" s="66"/>
    </row>
    <row r="774" spans="2:6" ht="21" customHeight="1">
      <c r="B774" s="70"/>
      <c r="F774" s="66"/>
    </row>
    <row r="775" spans="2:6" ht="21" customHeight="1">
      <c r="B775" s="70"/>
      <c r="F775" s="66"/>
    </row>
    <row r="776" spans="2:6" ht="21" customHeight="1">
      <c r="B776" s="70"/>
      <c r="F776" s="66"/>
    </row>
    <row r="777" spans="2:6" ht="21" customHeight="1">
      <c r="B777" s="70"/>
      <c r="F777" s="66"/>
    </row>
    <row r="778" spans="2:6" ht="21" customHeight="1">
      <c r="B778" s="70"/>
      <c r="F778" s="66"/>
    </row>
    <row r="779" spans="2:6" ht="21" customHeight="1">
      <c r="B779" s="70"/>
      <c r="F779" s="66"/>
    </row>
    <row r="780" spans="2:6" ht="21" customHeight="1">
      <c r="B780" s="70"/>
      <c r="F780" s="66"/>
    </row>
    <row r="781" spans="2:6" ht="21" customHeight="1">
      <c r="B781" s="70"/>
      <c r="F781" s="66"/>
    </row>
    <row r="782" spans="2:6" ht="21" customHeight="1">
      <c r="B782" s="70"/>
      <c r="F782" s="66"/>
    </row>
    <row r="783" spans="2:6" ht="21" customHeight="1">
      <c r="B783" s="70"/>
      <c r="F783" s="66"/>
    </row>
    <row r="784" spans="2:6" ht="21" customHeight="1">
      <c r="B784" s="70"/>
      <c r="F784" s="66"/>
    </row>
    <row r="785" spans="2:6" ht="21" customHeight="1">
      <c r="B785" s="70"/>
      <c r="F785" s="66"/>
    </row>
    <row r="786" spans="2:6" ht="21" customHeight="1">
      <c r="B786" s="70"/>
      <c r="F786" s="66"/>
    </row>
    <row r="787" spans="2:6" ht="21" customHeight="1">
      <c r="B787" s="70"/>
      <c r="F787" s="66"/>
    </row>
    <row r="788" spans="2:6" ht="21" customHeight="1">
      <c r="B788" s="70"/>
      <c r="F788" s="66"/>
    </row>
    <row r="789" spans="2:6" ht="21" customHeight="1">
      <c r="B789" s="70"/>
      <c r="F789" s="66"/>
    </row>
    <row r="790" spans="2:6" ht="21" customHeight="1">
      <c r="B790" s="70"/>
      <c r="F790" s="66"/>
    </row>
    <row r="791" spans="2:6" ht="21" customHeight="1">
      <c r="B791" s="70"/>
      <c r="F791" s="66"/>
    </row>
    <row r="792" spans="2:6" ht="21" customHeight="1">
      <c r="B792" s="70"/>
      <c r="F792" s="66"/>
    </row>
    <row r="793" spans="2:6" ht="21" customHeight="1">
      <c r="B793" s="70"/>
      <c r="F793" s="66"/>
    </row>
    <row r="794" spans="2:6" ht="21" customHeight="1">
      <c r="B794" s="70"/>
      <c r="F794" s="66"/>
    </row>
    <row r="795" spans="2:6" ht="21" customHeight="1">
      <c r="B795" s="70"/>
      <c r="F795" s="66"/>
    </row>
    <row r="796" spans="2:6" ht="21" customHeight="1">
      <c r="B796" s="70"/>
      <c r="F796" s="66"/>
    </row>
    <row r="797" spans="2:6" ht="21" customHeight="1">
      <c r="B797" s="70"/>
      <c r="F797" s="66"/>
    </row>
    <row r="798" spans="2:6" ht="21" customHeight="1">
      <c r="B798" s="70"/>
      <c r="F798" s="66"/>
    </row>
    <row r="799" spans="2:6" ht="21" customHeight="1">
      <c r="B799" s="70"/>
      <c r="F799" s="66"/>
    </row>
    <row r="800" spans="2:6" ht="21" customHeight="1">
      <c r="B800" s="70"/>
      <c r="F800" s="66"/>
    </row>
    <row r="801" spans="2:6" ht="21" customHeight="1">
      <c r="B801" s="70"/>
      <c r="F801" s="66"/>
    </row>
    <row r="802" spans="2:6" ht="21" customHeight="1">
      <c r="B802" s="70"/>
      <c r="F802" s="66"/>
    </row>
    <row r="803" spans="2:6" ht="21" customHeight="1">
      <c r="B803" s="70"/>
      <c r="F803" s="66"/>
    </row>
    <row r="804" spans="2:6" ht="21" customHeight="1">
      <c r="B804" s="70"/>
      <c r="F804" s="66"/>
    </row>
    <row r="805" spans="2:6" ht="21" customHeight="1">
      <c r="B805" s="70"/>
      <c r="F805" s="66"/>
    </row>
    <row r="806" spans="2:6" ht="21" customHeight="1">
      <c r="B806" s="70"/>
      <c r="F806" s="66"/>
    </row>
    <row r="807" spans="2:6" ht="21" customHeight="1">
      <c r="B807" s="70"/>
      <c r="F807" s="66"/>
    </row>
    <row r="808" spans="2:6" ht="21" customHeight="1">
      <c r="B808" s="70"/>
      <c r="F808" s="66"/>
    </row>
    <row r="809" spans="2:6" ht="21" customHeight="1">
      <c r="B809" s="70"/>
      <c r="F809" s="66"/>
    </row>
    <row r="810" spans="2:6" ht="21" customHeight="1">
      <c r="B810" s="70"/>
      <c r="F810" s="66"/>
    </row>
    <row r="811" spans="2:6" ht="21" customHeight="1">
      <c r="B811" s="70"/>
      <c r="F811" s="66"/>
    </row>
    <row r="812" spans="2:6" ht="21" customHeight="1">
      <c r="B812" s="70"/>
      <c r="F812" s="66"/>
    </row>
    <row r="813" spans="2:6" ht="21" customHeight="1">
      <c r="B813" s="70"/>
      <c r="F813" s="66"/>
    </row>
    <row r="814" spans="2:6" ht="21" customHeight="1">
      <c r="B814" s="70"/>
      <c r="F814" s="66"/>
    </row>
    <row r="815" spans="2:6" ht="21" customHeight="1">
      <c r="B815" s="70"/>
      <c r="F815" s="66"/>
    </row>
    <row r="816" spans="2:6" ht="21" customHeight="1">
      <c r="B816" s="70"/>
      <c r="F816" s="66"/>
    </row>
    <row r="817" spans="2:6" ht="21" customHeight="1">
      <c r="B817" s="70"/>
      <c r="F817" s="66"/>
    </row>
    <row r="818" spans="2:6" ht="21" customHeight="1">
      <c r="B818" s="70"/>
      <c r="F818" s="66"/>
    </row>
    <row r="819" spans="2:6" ht="21" customHeight="1">
      <c r="B819" s="70"/>
      <c r="F819" s="66"/>
    </row>
    <row r="820" spans="2:6" ht="21" customHeight="1">
      <c r="B820" s="70"/>
      <c r="F820" s="66"/>
    </row>
    <row r="821" spans="2:6" ht="21" customHeight="1">
      <c r="B821" s="70"/>
      <c r="F821" s="66"/>
    </row>
    <row r="822" spans="2:6" ht="21" customHeight="1">
      <c r="B822" s="70"/>
      <c r="F822" s="66"/>
    </row>
    <row r="823" spans="2:6" ht="21" customHeight="1">
      <c r="B823" s="70"/>
      <c r="F823" s="66"/>
    </row>
    <row r="824" spans="2:6" ht="21" customHeight="1">
      <c r="B824" s="70"/>
      <c r="F824" s="66"/>
    </row>
    <row r="825" spans="2:6" ht="21" customHeight="1">
      <c r="B825" s="70"/>
      <c r="F825" s="66"/>
    </row>
    <row r="826" spans="2:6" ht="21" customHeight="1">
      <c r="B826" s="70"/>
      <c r="F826" s="66"/>
    </row>
    <row r="827" spans="2:6" ht="21" customHeight="1">
      <c r="B827" s="70"/>
      <c r="F827" s="66"/>
    </row>
    <row r="828" spans="2:6" ht="21" customHeight="1">
      <c r="B828" s="70"/>
      <c r="F828" s="66"/>
    </row>
    <row r="829" spans="2:6" ht="21" customHeight="1">
      <c r="B829" s="70"/>
      <c r="F829" s="66"/>
    </row>
    <row r="830" spans="2:6" ht="21" customHeight="1">
      <c r="B830" s="70"/>
      <c r="F830" s="66"/>
    </row>
    <row r="831" spans="2:6" ht="21" customHeight="1">
      <c r="B831" s="70"/>
      <c r="F831" s="66"/>
    </row>
    <row r="832" spans="2:6" ht="21" customHeight="1">
      <c r="B832" s="70"/>
      <c r="F832" s="66"/>
    </row>
    <row r="833" spans="2:6" ht="21" customHeight="1">
      <c r="B833" s="70"/>
      <c r="F833" s="66"/>
    </row>
    <row r="834" spans="2:6" ht="21" customHeight="1">
      <c r="B834" s="70"/>
      <c r="F834" s="66"/>
    </row>
    <row r="835" spans="2:6" ht="21" customHeight="1">
      <c r="B835" s="70"/>
      <c r="F835" s="66"/>
    </row>
    <row r="836" spans="2:6" ht="21" customHeight="1">
      <c r="B836" s="70"/>
      <c r="F836" s="66"/>
    </row>
    <row r="837" spans="2:6" ht="21" customHeight="1">
      <c r="B837" s="70"/>
      <c r="F837" s="66"/>
    </row>
    <row r="838" spans="2:6" ht="21" customHeight="1">
      <c r="B838" s="70"/>
      <c r="F838" s="66"/>
    </row>
    <row r="839" spans="2:6" ht="21" customHeight="1">
      <c r="B839" s="70"/>
      <c r="F839" s="66"/>
    </row>
    <row r="840" spans="2:6" ht="21" customHeight="1">
      <c r="B840" s="70"/>
      <c r="F840" s="66"/>
    </row>
    <row r="841" spans="2:6" ht="21" customHeight="1">
      <c r="B841" s="70"/>
      <c r="F841" s="66"/>
    </row>
    <row r="842" spans="2:6" ht="21" customHeight="1">
      <c r="B842" s="70"/>
      <c r="F842" s="66"/>
    </row>
    <row r="843" spans="2:6" ht="21" customHeight="1">
      <c r="B843" s="70"/>
      <c r="F843" s="66"/>
    </row>
    <row r="844" spans="2:6" ht="21" customHeight="1">
      <c r="B844" s="70"/>
      <c r="F844" s="66"/>
    </row>
    <row r="845" spans="2:6" ht="21" customHeight="1">
      <c r="B845" s="70"/>
      <c r="F845" s="66"/>
    </row>
    <row r="846" spans="2:6" ht="21" customHeight="1">
      <c r="B846" s="70"/>
      <c r="F846" s="66"/>
    </row>
    <row r="847" spans="2:6" ht="21" customHeight="1">
      <c r="B847" s="70"/>
      <c r="F847" s="66"/>
    </row>
    <row r="848" spans="2:6" ht="21" customHeight="1">
      <c r="B848" s="70"/>
      <c r="F848" s="66"/>
    </row>
    <row r="849" spans="2:6" ht="21" customHeight="1">
      <c r="B849" s="70"/>
      <c r="F849" s="66"/>
    </row>
    <row r="850" spans="2:6" ht="21" customHeight="1">
      <c r="B850" s="70"/>
      <c r="F850" s="66"/>
    </row>
    <row r="851" spans="2:6" ht="21" customHeight="1">
      <c r="B851" s="70"/>
      <c r="F851" s="66"/>
    </row>
    <row r="852" spans="2:6" ht="21" customHeight="1">
      <c r="B852" s="70"/>
      <c r="F852" s="66"/>
    </row>
    <row r="853" spans="2:6" ht="21" customHeight="1">
      <c r="B853" s="70"/>
      <c r="F853" s="66"/>
    </row>
    <row r="854" spans="2:6" ht="21" customHeight="1">
      <c r="B854" s="70"/>
      <c r="F854" s="66"/>
    </row>
    <row r="855" spans="2:6" ht="21" customHeight="1">
      <c r="B855" s="70"/>
      <c r="F855" s="66"/>
    </row>
    <row r="856" spans="2:6" ht="21" customHeight="1">
      <c r="B856" s="70"/>
      <c r="F856" s="66"/>
    </row>
    <row r="857" spans="2:6" ht="21" customHeight="1">
      <c r="B857" s="70"/>
      <c r="F857" s="66"/>
    </row>
    <row r="858" spans="2:6" ht="21" customHeight="1">
      <c r="B858" s="70"/>
      <c r="F858" s="66"/>
    </row>
    <row r="859" spans="2:6" ht="21" customHeight="1">
      <c r="B859" s="70"/>
      <c r="F859" s="66"/>
    </row>
    <row r="860" spans="2:6" ht="21" customHeight="1">
      <c r="B860" s="70"/>
      <c r="F860" s="66"/>
    </row>
    <row r="861" spans="2:6" ht="21" customHeight="1">
      <c r="B861" s="70"/>
      <c r="F861" s="66"/>
    </row>
    <row r="862" spans="2:6" ht="21" customHeight="1">
      <c r="B862" s="70"/>
      <c r="F862" s="66"/>
    </row>
    <row r="863" spans="2:6" ht="21" customHeight="1">
      <c r="B863" s="70"/>
      <c r="F863" s="66"/>
    </row>
    <row r="864" spans="2:6" ht="21" customHeight="1">
      <c r="B864" s="70"/>
      <c r="F864" s="66"/>
    </row>
    <row r="865" spans="2:6" ht="21" customHeight="1">
      <c r="B865" s="70"/>
      <c r="F865" s="66"/>
    </row>
    <row r="866" spans="2:6" ht="21" customHeight="1">
      <c r="B866" s="70"/>
      <c r="F866" s="66"/>
    </row>
    <row r="867" spans="2:6" ht="21" customHeight="1">
      <c r="B867" s="70"/>
      <c r="F867" s="66"/>
    </row>
    <row r="868" spans="2:6" ht="21" customHeight="1">
      <c r="B868" s="70"/>
      <c r="F868" s="66"/>
    </row>
    <row r="869" spans="2:6" ht="21" customHeight="1">
      <c r="B869" s="70"/>
      <c r="F869" s="66"/>
    </row>
    <row r="870" spans="2:6" ht="21" customHeight="1">
      <c r="B870" s="70"/>
      <c r="F870" s="66"/>
    </row>
    <row r="871" spans="2:6" ht="21" customHeight="1">
      <c r="B871" s="70"/>
      <c r="F871" s="66"/>
    </row>
    <row r="872" spans="2:6" ht="21" customHeight="1">
      <c r="B872" s="70"/>
      <c r="F872" s="66"/>
    </row>
    <row r="873" spans="2:6" ht="21" customHeight="1">
      <c r="B873" s="70"/>
      <c r="F873" s="66"/>
    </row>
    <row r="874" spans="2:6" ht="21" customHeight="1">
      <c r="B874" s="70"/>
      <c r="F874" s="66"/>
    </row>
    <row r="875" spans="2:6" ht="21" customHeight="1">
      <c r="B875" s="70"/>
      <c r="F875" s="66"/>
    </row>
    <row r="876" spans="2:6" ht="21" customHeight="1">
      <c r="B876" s="70"/>
      <c r="F876" s="66"/>
    </row>
    <row r="877" spans="2:6" ht="21" customHeight="1">
      <c r="B877" s="70"/>
      <c r="F877" s="66"/>
    </row>
    <row r="878" spans="2:6" ht="21" customHeight="1">
      <c r="B878" s="70"/>
      <c r="F878" s="66"/>
    </row>
    <row r="879" spans="2:6" ht="21" customHeight="1">
      <c r="B879" s="70"/>
      <c r="F879" s="66"/>
    </row>
    <row r="880" spans="2:6" ht="21" customHeight="1">
      <c r="B880" s="70"/>
      <c r="F880" s="66"/>
    </row>
    <row r="881" spans="2:6" ht="21" customHeight="1">
      <c r="B881" s="70"/>
      <c r="F881" s="66"/>
    </row>
    <row r="882" spans="2:6" ht="21" customHeight="1">
      <c r="B882" s="70"/>
      <c r="F882" s="66"/>
    </row>
    <row r="883" spans="2:6" ht="21" customHeight="1">
      <c r="B883" s="70"/>
      <c r="F883" s="66"/>
    </row>
    <row r="884" spans="2:6" ht="21" customHeight="1">
      <c r="B884" s="70"/>
      <c r="F884" s="66"/>
    </row>
    <row r="885" spans="2:6" ht="21" customHeight="1">
      <c r="B885" s="70"/>
      <c r="F885" s="66"/>
    </row>
    <row r="886" spans="2:6" ht="21" customHeight="1">
      <c r="B886" s="70"/>
      <c r="F886" s="66"/>
    </row>
    <row r="887" spans="2:6" ht="21" customHeight="1">
      <c r="B887" s="70"/>
      <c r="F887" s="66"/>
    </row>
    <row r="888" spans="2:6" ht="21" customHeight="1">
      <c r="B888" s="70"/>
      <c r="F888" s="66"/>
    </row>
    <row r="889" spans="2:6" ht="21" customHeight="1">
      <c r="B889" s="70"/>
      <c r="F889" s="66"/>
    </row>
    <row r="890" spans="2:6" ht="21" customHeight="1">
      <c r="B890" s="70"/>
      <c r="F890" s="66"/>
    </row>
    <row r="891" spans="2:6" ht="21" customHeight="1">
      <c r="B891" s="70"/>
      <c r="F891" s="66"/>
    </row>
    <row r="892" spans="2:6" ht="21" customHeight="1">
      <c r="B892" s="70"/>
      <c r="F892" s="66"/>
    </row>
    <row r="893" spans="2:6" ht="21" customHeight="1">
      <c r="B893" s="70"/>
      <c r="F893" s="66"/>
    </row>
    <row r="894" spans="2:6" ht="21" customHeight="1">
      <c r="B894" s="70"/>
      <c r="F894" s="66"/>
    </row>
    <row r="895" spans="2:6" ht="21" customHeight="1">
      <c r="B895" s="70"/>
      <c r="F895" s="66"/>
    </row>
    <row r="896" spans="2:6" ht="21" customHeight="1">
      <c r="B896" s="70"/>
      <c r="F896" s="66"/>
    </row>
    <row r="897" spans="2:6" ht="21" customHeight="1">
      <c r="B897" s="70"/>
      <c r="F897" s="66"/>
    </row>
    <row r="898" spans="2:6" ht="21" customHeight="1">
      <c r="B898" s="70"/>
      <c r="F898" s="66"/>
    </row>
    <row r="899" spans="2:6" ht="21" customHeight="1">
      <c r="B899" s="70"/>
      <c r="F899" s="66"/>
    </row>
    <row r="900" spans="2:6" ht="21" customHeight="1">
      <c r="B900" s="70"/>
      <c r="F900" s="66"/>
    </row>
    <row r="901" spans="2:6" ht="21" customHeight="1">
      <c r="B901" s="70"/>
      <c r="F901" s="66"/>
    </row>
    <row r="902" spans="2:6" ht="21" customHeight="1">
      <c r="B902" s="70"/>
      <c r="F902" s="66"/>
    </row>
    <row r="903" spans="2:6" ht="21" customHeight="1">
      <c r="B903" s="70"/>
      <c r="F903" s="66"/>
    </row>
    <row r="904" spans="2:6" ht="21" customHeight="1">
      <c r="B904" s="70"/>
      <c r="F904" s="66"/>
    </row>
    <row r="905" spans="2:6" ht="21" customHeight="1">
      <c r="B905" s="70"/>
      <c r="F905" s="66"/>
    </row>
    <row r="906" spans="2:6" ht="21" customHeight="1">
      <c r="B906" s="70"/>
      <c r="F906" s="66"/>
    </row>
    <row r="907" spans="2:6" ht="21" customHeight="1">
      <c r="B907" s="70"/>
      <c r="F907" s="66"/>
    </row>
    <row r="908" spans="2:6" ht="21" customHeight="1">
      <c r="B908" s="70"/>
      <c r="F908" s="66"/>
    </row>
    <row r="909" spans="2:6" ht="21" customHeight="1">
      <c r="B909" s="70"/>
      <c r="F909" s="66"/>
    </row>
    <row r="910" spans="2:6" ht="21" customHeight="1">
      <c r="B910" s="70"/>
      <c r="F910" s="66"/>
    </row>
    <row r="911" spans="2:6" ht="21" customHeight="1">
      <c r="B911" s="70"/>
      <c r="F911" s="66"/>
    </row>
    <row r="912" spans="2:6" ht="21" customHeight="1">
      <c r="B912" s="70"/>
      <c r="F912" s="66"/>
    </row>
    <row r="913" spans="2:6" ht="21" customHeight="1">
      <c r="B913" s="70"/>
      <c r="F913" s="66"/>
    </row>
    <row r="914" spans="2:6" ht="21" customHeight="1">
      <c r="B914" s="70"/>
      <c r="F914" s="66"/>
    </row>
    <row r="915" spans="2:6" ht="21" customHeight="1">
      <c r="B915" s="70"/>
      <c r="F915" s="66"/>
    </row>
    <row r="916" spans="2:6" ht="21" customHeight="1">
      <c r="B916" s="70"/>
      <c r="F916" s="66"/>
    </row>
    <row r="917" spans="2:6" ht="21" customHeight="1">
      <c r="B917" s="70"/>
      <c r="F917" s="66"/>
    </row>
    <row r="918" spans="2:6" ht="21" customHeight="1">
      <c r="B918" s="70"/>
      <c r="F918" s="66"/>
    </row>
    <row r="919" spans="2:6" ht="21" customHeight="1">
      <c r="B919" s="70"/>
      <c r="F919" s="66"/>
    </row>
    <row r="920" spans="2:6" ht="21" customHeight="1">
      <c r="B920" s="70"/>
      <c r="F920" s="66"/>
    </row>
    <row r="921" spans="2:6" ht="21" customHeight="1">
      <c r="B921" s="70"/>
      <c r="F921" s="66"/>
    </row>
    <row r="922" spans="2:6" ht="21" customHeight="1">
      <c r="B922" s="70"/>
      <c r="F922" s="66"/>
    </row>
    <row r="923" spans="2:6" ht="21" customHeight="1">
      <c r="B923" s="70"/>
      <c r="F923" s="66"/>
    </row>
    <row r="924" spans="2:6" ht="21" customHeight="1">
      <c r="B924" s="70"/>
      <c r="F924" s="66"/>
    </row>
    <row r="925" spans="2:6" ht="21" customHeight="1">
      <c r="B925" s="70"/>
      <c r="F925" s="66"/>
    </row>
    <row r="926" spans="2:6" ht="21" customHeight="1">
      <c r="B926" s="70"/>
      <c r="F926" s="66"/>
    </row>
    <row r="927" spans="2:6" ht="21" customHeight="1">
      <c r="B927" s="70"/>
      <c r="F927" s="66"/>
    </row>
    <row r="928" spans="2:6" ht="21" customHeight="1">
      <c r="B928" s="70"/>
      <c r="F928" s="66"/>
    </row>
    <row r="929" spans="2:6" ht="21" customHeight="1">
      <c r="B929" s="70"/>
      <c r="F929" s="66"/>
    </row>
    <row r="930" spans="2:6" ht="21" customHeight="1">
      <c r="B930" s="70"/>
      <c r="F930" s="66"/>
    </row>
    <row r="931" spans="2:6" ht="21" customHeight="1">
      <c r="B931" s="70"/>
      <c r="F931" s="66"/>
    </row>
    <row r="932" spans="2:6" ht="21" customHeight="1">
      <c r="B932" s="70"/>
      <c r="F932" s="66"/>
    </row>
    <row r="933" spans="2:6" ht="21" customHeight="1">
      <c r="B933" s="70"/>
      <c r="F933" s="66"/>
    </row>
    <row r="934" spans="2:6" ht="21" customHeight="1">
      <c r="B934" s="70"/>
      <c r="F934" s="66"/>
    </row>
    <row r="935" spans="2:6" ht="21" customHeight="1">
      <c r="B935" s="70"/>
      <c r="F935" s="66"/>
    </row>
    <row r="936" spans="2:6" ht="21" customHeight="1">
      <c r="B936" s="70"/>
      <c r="F936" s="66"/>
    </row>
    <row r="937" spans="2:6" ht="21" customHeight="1">
      <c r="B937" s="70"/>
      <c r="F937" s="66"/>
    </row>
    <row r="938" spans="2:6" ht="21" customHeight="1">
      <c r="B938" s="70"/>
      <c r="F938" s="66"/>
    </row>
    <row r="939" spans="2:6" ht="21" customHeight="1">
      <c r="B939" s="70"/>
      <c r="F939" s="66"/>
    </row>
    <row r="940" spans="2:6" ht="21" customHeight="1">
      <c r="B940" s="70"/>
      <c r="F940" s="66"/>
    </row>
    <row r="941" spans="2:6" ht="21" customHeight="1">
      <c r="B941" s="70"/>
      <c r="F941" s="66"/>
    </row>
    <row r="942" spans="2:6" ht="21" customHeight="1">
      <c r="B942" s="70"/>
      <c r="F942" s="66"/>
    </row>
    <row r="943" spans="2:6" ht="21" customHeight="1">
      <c r="B943" s="70"/>
      <c r="F943" s="66"/>
    </row>
    <row r="944" spans="2:6" ht="21" customHeight="1">
      <c r="B944" s="70"/>
      <c r="F944" s="66"/>
    </row>
    <row r="945" spans="2:6" ht="21" customHeight="1">
      <c r="B945" s="70"/>
      <c r="F945" s="66"/>
    </row>
    <row r="946" spans="2:6" ht="21" customHeight="1">
      <c r="B946" s="70"/>
      <c r="F946" s="66"/>
    </row>
    <row r="947" spans="2:6" ht="21" customHeight="1">
      <c r="B947" s="70"/>
      <c r="F947" s="66"/>
    </row>
    <row r="948" spans="2:6" ht="21" customHeight="1">
      <c r="B948" s="70"/>
      <c r="F948" s="66"/>
    </row>
    <row r="949" spans="2:6" ht="21" customHeight="1">
      <c r="B949" s="70"/>
      <c r="F949" s="66"/>
    </row>
    <row r="950" spans="2:6" ht="21" customHeight="1">
      <c r="B950" s="70"/>
      <c r="F950" s="66"/>
    </row>
    <row r="951" spans="2:6" ht="21" customHeight="1">
      <c r="B951" s="70"/>
      <c r="F951" s="66"/>
    </row>
    <row r="952" spans="2:6" ht="21" customHeight="1">
      <c r="B952" s="70"/>
      <c r="F952" s="66"/>
    </row>
    <row r="953" spans="2:6" ht="21" customHeight="1">
      <c r="B953" s="70"/>
      <c r="F953" s="66"/>
    </row>
    <row r="954" spans="2:6" ht="21" customHeight="1">
      <c r="B954" s="70"/>
      <c r="F954" s="66"/>
    </row>
    <row r="955" spans="2:6" ht="21" customHeight="1">
      <c r="B955" s="70"/>
      <c r="F955" s="66"/>
    </row>
    <row r="956" spans="2:6" ht="21" customHeight="1">
      <c r="B956" s="70"/>
      <c r="F956" s="66"/>
    </row>
    <row r="957" spans="2:6" ht="21" customHeight="1">
      <c r="B957" s="70"/>
      <c r="F957" s="66"/>
    </row>
    <row r="958" spans="2:6" ht="21" customHeight="1">
      <c r="B958" s="70"/>
      <c r="F958" s="66"/>
    </row>
    <row r="959" spans="2:6" ht="21" customHeight="1">
      <c r="B959" s="70"/>
      <c r="F959" s="66"/>
    </row>
    <row r="960" spans="2:6" ht="21" customHeight="1">
      <c r="B960" s="70"/>
      <c r="F960" s="66"/>
    </row>
    <row r="961" spans="2:6" ht="21" customHeight="1">
      <c r="B961" s="70"/>
      <c r="F961" s="66"/>
    </row>
    <row r="962" spans="2:6" ht="21" customHeight="1">
      <c r="B962" s="70"/>
      <c r="F962" s="66"/>
    </row>
    <row r="963" spans="2:6" ht="21" customHeight="1">
      <c r="B963" s="70"/>
      <c r="F963" s="66"/>
    </row>
    <row r="964" spans="2:6" ht="21" customHeight="1">
      <c r="B964" s="70"/>
      <c r="F964" s="66"/>
    </row>
    <row r="965" spans="2:6" ht="21" customHeight="1">
      <c r="B965" s="70"/>
      <c r="F965" s="66"/>
    </row>
    <row r="966" spans="2:6" ht="21" customHeight="1">
      <c r="B966" s="70"/>
      <c r="F966" s="66"/>
    </row>
    <row r="967" spans="2:6" ht="21" customHeight="1">
      <c r="B967" s="70"/>
      <c r="F967" s="66"/>
    </row>
    <row r="968" spans="2:6" ht="21" customHeight="1">
      <c r="B968" s="70"/>
      <c r="F968" s="66"/>
    </row>
    <row r="969" spans="2:6" ht="21" customHeight="1">
      <c r="B969" s="70"/>
      <c r="F969" s="66"/>
    </row>
    <row r="970" spans="2:6" ht="21" customHeight="1">
      <c r="B970" s="70"/>
      <c r="F970" s="66"/>
    </row>
    <row r="971" spans="2:6" ht="21" customHeight="1">
      <c r="B971" s="70"/>
      <c r="F971" s="66"/>
    </row>
    <row r="972" spans="2:6" ht="21" customHeight="1">
      <c r="B972" s="70"/>
      <c r="F972" s="66"/>
    </row>
    <row r="973" spans="2:6" ht="21" customHeight="1">
      <c r="B973" s="70"/>
      <c r="F973" s="66"/>
    </row>
    <row r="974" spans="2:6" ht="21" customHeight="1">
      <c r="B974" s="70"/>
      <c r="F974" s="66"/>
    </row>
    <row r="975" spans="2:6" ht="21" customHeight="1">
      <c r="B975" s="70"/>
      <c r="F975" s="66"/>
    </row>
    <row r="976" spans="2:6" ht="21" customHeight="1">
      <c r="B976" s="70"/>
      <c r="F976" s="66"/>
    </row>
    <row r="977" spans="2:6" ht="21" customHeight="1">
      <c r="B977" s="70"/>
      <c r="F977" s="66"/>
    </row>
    <row r="978" spans="2:6" ht="21" customHeight="1">
      <c r="B978" s="70"/>
      <c r="F978" s="66"/>
    </row>
    <row r="979" spans="2:6" ht="21" customHeight="1">
      <c r="B979" s="70"/>
      <c r="F979" s="66"/>
    </row>
    <row r="980" spans="2:6" ht="21" customHeight="1">
      <c r="B980" s="70"/>
      <c r="F980" s="66"/>
    </row>
    <row r="981" spans="2:6" ht="21" customHeight="1">
      <c r="B981" s="70"/>
      <c r="F981" s="66"/>
    </row>
    <row r="982" spans="2:6" ht="21" customHeight="1">
      <c r="B982" s="70"/>
      <c r="F982" s="66"/>
    </row>
    <row r="983" spans="2:6" ht="21" customHeight="1">
      <c r="B983" s="70"/>
      <c r="F983" s="66"/>
    </row>
    <row r="984" spans="2:6" ht="21" customHeight="1">
      <c r="B984" s="70"/>
      <c r="F984" s="66"/>
    </row>
    <row r="985" spans="2:6" ht="21" customHeight="1">
      <c r="B985" s="70"/>
      <c r="F985" s="66"/>
    </row>
    <row r="986" spans="2:6" ht="21" customHeight="1">
      <c r="B986" s="70"/>
      <c r="F986" s="66"/>
    </row>
    <row r="987" spans="2:6" ht="21" customHeight="1">
      <c r="B987" s="70"/>
      <c r="F987" s="66"/>
    </row>
    <row r="988" spans="2:6" ht="21" customHeight="1">
      <c r="B988" s="70"/>
      <c r="F988" s="66"/>
    </row>
    <row r="989" spans="2:6" ht="21" customHeight="1">
      <c r="B989" s="70"/>
      <c r="F989" s="66"/>
    </row>
    <row r="990" spans="2:6" ht="21" customHeight="1">
      <c r="B990" s="70"/>
      <c r="F990" s="66"/>
    </row>
    <row r="991" spans="2:6" ht="21" customHeight="1">
      <c r="B991" s="70"/>
      <c r="F991" s="66"/>
    </row>
    <row r="992" spans="2:6" ht="21" customHeight="1">
      <c r="B992" s="70"/>
      <c r="F992" s="66"/>
    </row>
    <row r="993" spans="2:6" ht="21" customHeight="1">
      <c r="B993" s="70"/>
      <c r="F993" s="66"/>
    </row>
    <row r="994" spans="2:6" ht="21" customHeight="1">
      <c r="B994" s="70"/>
      <c r="F994" s="66"/>
    </row>
    <row r="995" spans="2:6" ht="21" customHeight="1">
      <c r="B995" s="70"/>
      <c r="F995" s="66"/>
    </row>
  </sheetData>
  <mergeCells count="4">
    <mergeCell ref="A26:B26"/>
    <mergeCell ref="C26:E26"/>
    <mergeCell ref="I2:N2"/>
    <mergeCell ref="D24:F24"/>
  </mergeCells>
  <conditionalFormatting sqref="F3:F22">
    <cfRule type="expression" dxfId="56" priority="4">
      <formula>F3&lt;=SMALL($F$3:$F$22,8)</formula>
    </cfRule>
  </conditionalFormatting>
  <conditionalFormatting sqref="N4:N22">
    <cfRule type="expression" dxfId="55" priority="1">
      <formula>N4&lt;=SMALL($F$3:$F$22,8)</formula>
    </cfRule>
  </conditionalFormatting>
  <hyperlinks>
    <hyperlink ref="C26" r:id="rId1" xr:uid="{104ED15A-47A2-46C0-86EF-75D5667E9CC4}"/>
  </hyperlinks>
  <pageMargins left="0.7" right="0.7" top="0.75" bottom="0.75" header="0" footer="0"/>
  <pageSetup orientation="portrait"/>
  <headerFooter>
    <oddFooter>&amp;C_x000D_&amp;1#&amp;"Calibri"&amp;10&amp;K000000 OFFICIAL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AF6E-013C-48FC-8DE6-496DB9717F0B}">
  <dimension ref="A1:Z1000"/>
  <sheetViews>
    <sheetView workbookViewId="0">
      <selection activeCell="B1" sqref="B1"/>
    </sheetView>
  </sheetViews>
  <sheetFormatPr defaultColWidth="14.42578125" defaultRowHeight="15" customHeight="1"/>
  <cols>
    <col min="1" max="1" width="21" style="59" customWidth="1"/>
    <col min="2" max="7" width="18" style="59" customWidth="1"/>
    <col min="8" max="8" width="31.140625" style="59" customWidth="1"/>
    <col min="9" max="9" width="12.7109375" style="59" customWidth="1"/>
    <col min="10" max="26" width="18" style="59" customWidth="1"/>
    <col min="27" max="16384" width="14.42578125" style="59"/>
  </cols>
  <sheetData>
    <row r="1" spans="1:26" ht="21" customHeight="1" thickTop="1" thickBot="1">
      <c r="A1" s="131" t="s">
        <v>60</v>
      </c>
      <c r="B1" s="148">
        <f ca="1">AVERAGE(SMALL(INDIRECT("F3:F22"),1),SMALL(INDIRECT("F3:F22"),2),SMALL(INDIRECT("F3:F22"),3),SMALL(INDIRECT("F3:F22"),4),SMALL(INDIRECT("F3:F22"),5), SMALL(INDIRECT("F3:F22"),6),SMALL(INDIRECT("F3:F22"),7),SMALL(INDIRECT("F3:F22"),8))</f>
        <v>21.614828893236037</v>
      </c>
      <c r="C1" s="140" t="s">
        <v>61</v>
      </c>
      <c r="D1" s="141">
        <f>AVERAGE(C3:C22)</f>
        <v>100.15</v>
      </c>
      <c r="E1" s="140" t="s">
        <v>62</v>
      </c>
      <c r="F1" s="142">
        <f ca="1">ROUNDDOWN(AVERAGE(SMALL(INDIRECT("c3:c22"),1),SMALL(INDIRECT("c3:c22"),2),SMALL(INDIRECT("c3:c22"),3),SMALL(INDIRECT("c3:c22"),4),SMALL(INDIRECT("c3:c22"),5), SMALL(INDIRECT("c3:c22"),6),SMALL(INDIRECT("c3:c22"),7),SMALL(INDIRECT("c3:c22"),8)),1)</f>
        <v>95.7</v>
      </c>
      <c r="G1" s="58"/>
    </row>
    <row r="2" spans="1:26" ht="21" customHeight="1" thickTop="1" thickBot="1">
      <c r="A2" s="60" t="s">
        <v>19</v>
      </c>
      <c r="B2" s="60" t="s">
        <v>20</v>
      </c>
      <c r="C2" s="60" t="s">
        <v>63</v>
      </c>
      <c r="D2" s="60" t="s">
        <v>64</v>
      </c>
      <c r="E2" s="60" t="s">
        <v>65</v>
      </c>
      <c r="F2" s="61" t="s">
        <v>66</v>
      </c>
      <c r="G2" s="60"/>
      <c r="I2" s="283" t="s">
        <v>67</v>
      </c>
      <c r="J2" s="283"/>
      <c r="K2" s="283"/>
      <c r="L2" s="283"/>
      <c r="M2" s="283"/>
      <c r="N2" s="283"/>
    </row>
    <row r="3" spans="1:26" ht="21" customHeight="1">
      <c r="A3" s="232">
        <v>45671</v>
      </c>
      <c r="B3" s="233" t="s">
        <v>68</v>
      </c>
      <c r="C3" s="233">
        <v>96</v>
      </c>
      <c r="D3" s="233">
        <v>71</v>
      </c>
      <c r="E3" s="233">
        <v>130</v>
      </c>
      <c r="F3" s="75">
        <f>(((C3-G3)-D3)*113)/E3</f>
        <v>21.73076923076923</v>
      </c>
      <c r="G3" s="58"/>
      <c r="I3" s="174">
        <v>44986</v>
      </c>
      <c r="J3" s="175" t="s">
        <v>69</v>
      </c>
      <c r="K3" s="175">
        <v>102</v>
      </c>
      <c r="L3" s="175">
        <v>70</v>
      </c>
      <c r="M3" s="175">
        <v>133</v>
      </c>
      <c r="N3" s="176">
        <v>27.18796992481203</v>
      </c>
    </row>
    <row r="4" spans="1:26" ht="21" customHeight="1">
      <c r="A4" s="64">
        <v>45709</v>
      </c>
      <c r="B4" s="62" t="s">
        <v>70</v>
      </c>
      <c r="C4" s="62">
        <v>115</v>
      </c>
      <c r="D4" s="62">
        <v>72</v>
      </c>
      <c r="E4" s="62">
        <v>139</v>
      </c>
      <c r="F4" s="76">
        <f t="shared" ref="F4:F22" si="0">(((C4-G4)-D4)*113)/E4</f>
        <v>34.956834532374103</v>
      </c>
      <c r="G4" s="58"/>
      <c r="I4" s="185">
        <v>45022</v>
      </c>
      <c r="J4" s="186" t="s">
        <v>71</v>
      </c>
      <c r="K4" s="186">
        <v>103</v>
      </c>
      <c r="L4" s="186">
        <v>69</v>
      </c>
      <c r="M4" s="186">
        <v>119</v>
      </c>
      <c r="N4" s="187">
        <v>32.285714285714285</v>
      </c>
    </row>
    <row r="5" spans="1:26" ht="21" customHeight="1">
      <c r="A5" s="64">
        <v>45730</v>
      </c>
      <c r="B5" s="62" t="s">
        <v>70</v>
      </c>
      <c r="C5" s="62">
        <v>96</v>
      </c>
      <c r="D5" s="62">
        <v>72</v>
      </c>
      <c r="E5" s="62">
        <v>139</v>
      </c>
      <c r="F5" s="76">
        <f t="shared" si="0"/>
        <v>19.510791366906474</v>
      </c>
      <c r="G5" s="58"/>
      <c r="H5" s="77"/>
      <c r="I5" s="200">
        <v>45036</v>
      </c>
      <c r="J5" s="201" t="s">
        <v>39</v>
      </c>
      <c r="K5" s="201">
        <v>101</v>
      </c>
      <c r="L5" s="201">
        <v>70</v>
      </c>
      <c r="M5" s="201">
        <v>130</v>
      </c>
      <c r="N5" s="202">
        <v>26.946153846153845</v>
      </c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21" customHeight="1">
      <c r="A6" s="64">
        <v>45755</v>
      </c>
      <c r="B6" s="62" t="s">
        <v>59</v>
      </c>
      <c r="C6" s="62">
        <v>95</v>
      </c>
      <c r="D6" s="62">
        <v>70</v>
      </c>
      <c r="E6" s="62">
        <v>129</v>
      </c>
      <c r="F6" s="76">
        <f t="shared" si="0"/>
        <v>21.899224806201552</v>
      </c>
      <c r="G6" s="58"/>
      <c r="H6" s="77"/>
      <c r="I6" s="185">
        <v>45093</v>
      </c>
      <c r="J6" s="186" t="s">
        <v>72</v>
      </c>
      <c r="K6" s="186">
        <v>101</v>
      </c>
      <c r="L6" s="186">
        <v>70</v>
      </c>
      <c r="M6" s="186">
        <v>118</v>
      </c>
      <c r="N6" s="187">
        <v>29.6864406779661</v>
      </c>
    </row>
    <row r="7" spans="1:26" ht="21" customHeight="1">
      <c r="A7" s="64">
        <v>45792</v>
      </c>
      <c r="B7" s="62" t="s">
        <v>73</v>
      </c>
      <c r="C7" s="62">
        <v>97</v>
      </c>
      <c r="D7" s="62">
        <v>70</v>
      </c>
      <c r="E7" s="62">
        <v>126</v>
      </c>
      <c r="F7" s="76">
        <f t="shared" si="0"/>
        <v>24.214285714285715</v>
      </c>
      <c r="G7" s="58"/>
      <c r="H7" s="77"/>
      <c r="I7" s="200">
        <v>45141</v>
      </c>
      <c r="J7" s="201" t="s">
        <v>74</v>
      </c>
      <c r="K7" s="201">
        <v>96</v>
      </c>
      <c r="L7" s="201">
        <v>72</v>
      </c>
      <c r="M7" s="201">
        <v>124</v>
      </c>
      <c r="N7" s="202">
        <v>21.870967741935484</v>
      </c>
    </row>
    <row r="8" spans="1:26" ht="21" customHeight="1">
      <c r="A8" s="64">
        <v>45835</v>
      </c>
      <c r="B8" s="62" t="s">
        <v>75</v>
      </c>
      <c r="C8" s="62">
        <v>105</v>
      </c>
      <c r="D8" s="62">
        <v>71</v>
      </c>
      <c r="E8" s="62">
        <v>127</v>
      </c>
      <c r="F8" s="76">
        <f t="shared" si="0"/>
        <v>30.251968503937007</v>
      </c>
      <c r="G8" s="58"/>
      <c r="I8" s="185">
        <v>45170</v>
      </c>
      <c r="J8" s="186" t="s">
        <v>69</v>
      </c>
      <c r="K8" s="186">
        <v>105</v>
      </c>
      <c r="L8" s="186">
        <v>70</v>
      </c>
      <c r="M8" s="186">
        <v>133</v>
      </c>
      <c r="N8" s="187">
        <v>29.736842105263158</v>
      </c>
    </row>
    <row r="9" spans="1:26" ht="21" customHeight="1">
      <c r="A9" s="64">
        <v>45848</v>
      </c>
      <c r="B9" s="62" t="s">
        <v>29</v>
      </c>
      <c r="C9" s="62">
        <v>104</v>
      </c>
      <c r="D9" s="62">
        <v>72</v>
      </c>
      <c r="E9" s="62">
        <v>135</v>
      </c>
      <c r="F9" s="76">
        <f t="shared" si="0"/>
        <v>26.785185185185185</v>
      </c>
      <c r="G9" s="58"/>
      <c r="H9" s="77"/>
      <c r="I9" s="200">
        <v>45247</v>
      </c>
      <c r="J9" s="201" t="s">
        <v>76</v>
      </c>
      <c r="K9" s="201">
        <v>105</v>
      </c>
      <c r="L9" s="201">
        <v>69</v>
      </c>
      <c r="M9" s="201">
        <v>119</v>
      </c>
      <c r="N9" s="202">
        <v>34.184873949579831</v>
      </c>
    </row>
    <row r="10" spans="1:26" ht="21" customHeight="1">
      <c r="A10" s="64">
        <v>45897</v>
      </c>
      <c r="B10" s="62" t="s">
        <v>74</v>
      </c>
      <c r="C10" s="62">
        <v>99</v>
      </c>
      <c r="D10" s="62">
        <v>72</v>
      </c>
      <c r="E10" s="62">
        <v>124</v>
      </c>
      <c r="F10" s="76">
        <f t="shared" si="0"/>
        <v>24.60483870967742</v>
      </c>
      <c r="G10" s="58"/>
      <c r="H10" s="77"/>
      <c r="I10" s="185">
        <v>45281</v>
      </c>
      <c r="J10" s="186" t="s">
        <v>77</v>
      </c>
      <c r="K10" s="186">
        <v>98</v>
      </c>
      <c r="L10" s="186">
        <v>70</v>
      </c>
      <c r="M10" s="186">
        <v>136</v>
      </c>
      <c r="N10" s="187">
        <v>23.264705882352942</v>
      </c>
    </row>
    <row r="11" spans="1:26" ht="21" customHeight="1">
      <c r="A11" s="64">
        <v>45926</v>
      </c>
      <c r="B11" s="62" t="s">
        <v>78</v>
      </c>
      <c r="C11" s="62">
        <v>97</v>
      </c>
      <c r="D11" s="62">
        <v>72</v>
      </c>
      <c r="E11" s="62">
        <v>125</v>
      </c>
      <c r="F11" s="76">
        <f t="shared" si="0"/>
        <v>22.6</v>
      </c>
      <c r="G11" s="58"/>
      <c r="H11" s="77"/>
      <c r="I11" s="200">
        <v>45321</v>
      </c>
      <c r="J11" s="201" t="s">
        <v>34</v>
      </c>
      <c r="K11" s="201">
        <v>85</v>
      </c>
      <c r="L11" s="201">
        <v>70</v>
      </c>
      <c r="M11" s="201">
        <v>127</v>
      </c>
      <c r="N11" s="202">
        <v>13.346456692913385</v>
      </c>
    </row>
    <row r="12" spans="1:26" ht="21" customHeight="1">
      <c r="A12" s="64">
        <v>46049</v>
      </c>
      <c r="B12" s="62" t="s">
        <v>29</v>
      </c>
      <c r="C12" s="62">
        <v>104</v>
      </c>
      <c r="D12" s="62">
        <v>73</v>
      </c>
      <c r="E12" s="62">
        <v>135</v>
      </c>
      <c r="F12" s="76">
        <f t="shared" si="0"/>
        <v>25.94814814814815</v>
      </c>
      <c r="G12" s="58"/>
      <c r="I12" s="185">
        <v>45345</v>
      </c>
      <c r="J12" s="186" t="s">
        <v>29</v>
      </c>
      <c r="K12" s="186">
        <v>101</v>
      </c>
      <c r="L12" s="186">
        <v>72</v>
      </c>
      <c r="M12" s="186">
        <v>135</v>
      </c>
      <c r="N12" s="187">
        <v>24.274074074074075</v>
      </c>
    </row>
    <row r="13" spans="1:26" ht="21" customHeight="1">
      <c r="A13" s="64">
        <v>46150</v>
      </c>
      <c r="B13" s="62" t="s">
        <v>34</v>
      </c>
      <c r="C13" s="62">
        <v>98</v>
      </c>
      <c r="D13" s="62">
        <v>69</v>
      </c>
      <c r="E13" s="62">
        <v>128</v>
      </c>
      <c r="F13" s="76">
        <f t="shared" si="0"/>
        <v>25.6015625</v>
      </c>
      <c r="G13" s="58"/>
      <c r="I13" s="200">
        <v>45370</v>
      </c>
      <c r="J13" s="201" t="s">
        <v>73</v>
      </c>
      <c r="K13" s="201">
        <v>107</v>
      </c>
      <c r="L13" s="201">
        <v>70</v>
      </c>
      <c r="M13" s="201">
        <v>126</v>
      </c>
      <c r="N13" s="202">
        <v>33.182539682539684</v>
      </c>
    </row>
    <row r="14" spans="1:26" ht="21" customHeight="1">
      <c r="A14" s="223">
        <v>46174</v>
      </c>
      <c r="B14" s="60" t="s">
        <v>68</v>
      </c>
      <c r="C14" s="60">
        <v>110</v>
      </c>
      <c r="D14" s="60">
        <v>72</v>
      </c>
      <c r="E14" s="60">
        <v>128</v>
      </c>
      <c r="F14" s="76">
        <f t="shared" si="0"/>
        <v>33.546875</v>
      </c>
      <c r="G14" s="58"/>
      <c r="H14" s="77"/>
      <c r="I14" s="185">
        <v>45400</v>
      </c>
      <c r="J14" s="186" t="s">
        <v>70</v>
      </c>
      <c r="K14" s="186">
        <v>99</v>
      </c>
      <c r="L14" s="186">
        <v>72</v>
      </c>
      <c r="M14" s="186">
        <v>139</v>
      </c>
      <c r="N14" s="187">
        <v>21.949640287769785</v>
      </c>
    </row>
    <row r="15" spans="1:26" ht="21" customHeight="1">
      <c r="A15" s="64">
        <v>45428</v>
      </c>
      <c r="B15" s="62" t="s">
        <v>74</v>
      </c>
      <c r="C15" s="62">
        <v>100</v>
      </c>
      <c r="D15" s="62">
        <v>72</v>
      </c>
      <c r="E15" s="62">
        <v>124</v>
      </c>
      <c r="F15" s="76">
        <f t="shared" si="0"/>
        <v>25.516129032258064</v>
      </c>
      <c r="G15" s="58"/>
      <c r="H15" s="63"/>
      <c r="I15" s="200">
        <v>45428</v>
      </c>
      <c r="J15" s="201" t="s">
        <v>74</v>
      </c>
      <c r="K15" s="201">
        <v>100</v>
      </c>
      <c r="L15" s="201">
        <v>72</v>
      </c>
      <c r="M15" s="201">
        <v>124</v>
      </c>
      <c r="N15" s="202">
        <v>25.516129032258064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21" customHeight="1">
      <c r="A16" s="64">
        <v>45471</v>
      </c>
      <c r="B16" s="62" t="s">
        <v>59</v>
      </c>
      <c r="C16" s="62">
        <v>94</v>
      </c>
      <c r="D16" s="62">
        <v>70</v>
      </c>
      <c r="E16" s="62">
        <v>129</v>
      </c>
      <c r="F16" s="76">
        <f t="shared" si="0"/>
        <v>21.023255813953487</v>
      </c>
      <c r="G16" s="58"/>
      <c r="I16" s="185">
        <v>45471</v>
      </c>
      <c r="J16" s="186" t="s">
        <v>59</v>
      </c>
      <c r="K16" s="186">
        <v>94</v>
      </c>
      <c r="L16" s="186">
        <v>70</v>
      </c>
      <c r="M16" s="186">
        <v>129</v>
      </c>
      <c r="N16" s="187">
        <v>21.023255813953487</v>
      </c>
    </row>
    <row r="17" spans="1:14" ht="21" customHeight="1">
      <c r="A17" s="64">
        <v>45492</v>
      </c>
      <c r="B17" s="62" t="s">
        <v>76</v>
      </c>
      <c r="C17" s="62">
        <v>99</v>
      </c>
      <c r="D17" s="62">
        <v>71</v>
      </c>
      <c r="E17" s="62">
        <v>123</v>
      </c>
      <c r="F17" s="76">
        <f t="shared" si="0"/>
        <v>25.723577235772357</v>
      </c>
      <c r="G17" s="58"/>
      <c r="I17" s="200">
        <v>45492</v>
      </c>
      <c r="J17" s="201" t="s">
        <v>76</v>
      </c>
      <c r="K17" s="201">
        <v>99</v>
      </c>
      <c r="L17" s="201">
        <v>71</v>
      </c>
      <c r="M17" s="201">
        <v>123</v>
      </c>
      <c r="N17" s="202">
        <v>25.723577235772357</v>
      </c>
    </row>
    <row r="18" spans="1:14" ht="21" customHeight="1">
      <c r="A18" s="64">
        <v>45506</v>
      </c>
      <c r="B18" s="62" t="s">
        <v>75</v>
      </c>
      <c r="C18" s="62">
        <v>105</v>
      </c>
      <c r="D18" s="62">
        <v>71</v>
      </c>
      <c r="E18" s="62">
        <v>127</v>
      </c>
      <c r="F18" s="76">
        <f t="shared" si="0"/>
        <v>30.251968503937007</v>
      </c>
      <c r="G18" s="58"/>
      <c r="I18" s="185">
        <v>45506</v>
      </c>
      <c r="J18" s="186" t="s">
        <v>75</v>
      </c>
      <c r="K18" s="186">
        <v>105</v>
      </c>
      <c r="L18" s="186">
        <v>71</v>
      </c>
      <c r="M18" s="186">
        <v>127</v>
      </c>
      <c r="N18" s="187">
        <v>30.251968503937007</v>
      </c>
    </row>
    <row r="19" spans="1:14" ht="21" customHeight="1">
      <c r="A19" s="64">
        <v>45555</v>
      </c>
      <c r="B19" s="62" t="s">
        <v>68</v>
      </c>
      <c r="C19" s="62">
        <v>97</v>
      </c>
      <c r="D19" s="62">
        <v>71</v>
      </c>
      <c r="E19" s="62">
        <v>130</v>
      </c>
      <c r="F19" s="76">
        <f t="shared" si="0"/>
        <v>22.6</v>
      </c>
      <c r="G19" s="58"/>
      <c r="I19" s="200">
        <v>45555</v>
      </c>
      <c r="J19" s="201" t="s">
        <v>68</v>
      </c>
      <c r="K19" s="201">
        <v>97</v>
      </c>
      <c r="L19" s="201">
        <v>71</v>
      </c>
      <c r="M19" s="201">
        <v>130</v>
      </c>
      <c r="N19" s="202">
        <v>22.6</v>
      </c>
    </row>
    <row r="20" spans="1:14" ht="21" customHeight="1">
      <c r="A20" s="64">
        <v>45580</v>
      </c>
      <c r="B20" s="62" t="s">
        <v>70</v>
      </c>
      <c r="C20" s="62">
        <v>100</v>
      </c>
      <c r="D20" s="62">
        <v>72</v>
      </c>
      <c r="E20" s="62">
        <v>139</v>
      </c>
      <c r="F20" s="76">
        <f t="shared" si="0"/>
        <v>22.762589928057555</v>
      </c>
      <c r="G20" s="58"/>
      <c r="I20" s="185">
        <v>45580</v>
      </c>
      <c r="J20" s="186" t="s">
        <v>70</v>
      </c>
      <c r="K20" s="186">
        <v>100</v>
      </c>
      <c r="L20" s="186">
        <v>72</v>
      </c>
      <c r="M20" s="186">
        <v>139</v>
      </c>
      <c r="N20" s="187">
        <v>22.762589928057555</v>
      </c>
    </row>
    <row r="21" spans="1:14" ht="21" customHeight="1">
      <c r="A21" s="64">
        <v>45611</v>
      </c>
      <c r="B21" s="62" t="s">
        <v>76</v>
      </c>
      <c r="C21" s="62">
        <v>98</v>
      </c>
      <c r="D21" s="62">
        <v>71</v>
      </c>
      <c r="E21" s="62">
        <v>123</v>
      </c>
      <c r="F21" s="76">
        <f t="shared" si="0"/>
        <v>24.804878048780488</v>
      </c>
      <c r="G21" s="58"/>
      <c r="I21" s="200">
        <v>45611</v>
      </c>
      <c r="J21" s="201" t="s">
        <v>76</v>
      </c>
      <c r="K21" s="201">
        <v>98</v>
      </c>
      <c r="L21" s="201">
        <v>71</v>
      </c>
      <c r="M21" s="201">
        <v>123</v>
      </c>
      <c r="N21" s="202">
        <v>24.804878048780488</v>
      </c>
    </row>
    <row r="22" spans="1:14" ht="21" customHeight="1" thickBot="1">
      <c r="A22" s="64">
        <v>45631</v>
      </c>
      <c r="B22" s="62" t="s">
        <v>79</v>
      </c>
      <c r="C22" s="62">
        <v>94</v>
      </c>
      <c r="D22" s="62">
        <v>71</v>
      </c>
      <c r="E22" s="62">
        <v>125</v>
      </c>
      <c r="F22" s="76">
        <f t="shared" si="0"/>
        <v>20.792000000000002</v>
      </c>
      <c r="G22" s="58"/>
      <c r="I22" s="217">
        <v>45631</v>
      </c>
      <c r="J22" s="218" t="s">
        <v>79</v>
      </c>
      <c r="K22" s="218">
        <v>94</v>
      </c>
      <c r="L22" s="218">
        <v>71</v>
      </c>
      <c r="M22" s="218">
        <v>125</v>
      </c>
      <c r="N22" s="219">
        <v>20.792000000000002</v>
      </c>
    </row>
    <row r="23" spans="1:14" ht="21" customHeight="1">
      <c r="A23" s="64"/>
      <c r="B23" s="62"/>
      <c r="C23" s="62"/>
      <c r="D23" s="62"/>
      <c r="E23" s="62"/>
      <c r="F23" s="65"/>
      <c r="G23" s="58"/>
    </row>
    <row r="24" spans="1:14" ht="21" customHeight="1">
      <c r="A24" s="64"/>
      <c r="B24" s="281" t="s">
        <v>80</v>
      </c>
      <c r="C24" s="286"/>
      <c r="D24" s="284" t="s">
        <v>81</v>
      </c>
      <c r="E24" s="287"/>
      <c r="F24" s="65"/>
      <c r="G24" s="58"/>
    </row>
    <row r="25" spans="1:14" ht="21" customHeight="1">
      <c r="A25" s="71"/>
      <c r="B25" s="72"/>
      <c r="C25" s="72"/>
      <c r="D25" s="72"/>
      <c r="E25" s="72"/>
      <c r="F25" s="72"/>
      <c r="G25" s="71"/>
    </row>
    <row r="26" spans="1:14" ht="21" customHeight="1">
      <c r="A26" s="64"/>
      <c r="B26" s="62"/>
      <c r="C26" s="62"/>
      <c r="D26" s="62"/>
      <c r="E26" s="62"/>
      <c r="F26" s="65"/>
      <c r="G26" s="58"/>
    </row>
    <row r="27" spans="1:14" ht="21" customHeight="1">
      <c r="A27" s="64"/>
      <c r="B27" s="62"/>
      <c r="C27" s="62"/>
      <c r="D27" s="62"/>
      <c r="E27" s="62"/>
      <c r="F27" s="65"/>
      <c r="G27" s="58"/>
    </row>
    <row r="28" spans="1:14" ht="21" customHeight="1">
      <c r="A28" s="64"/>
      <c r="B28" s="62"/>
      <c r="C28" s="61"/>
      <c r="D28" s="61"/>
      <c r="E28" s="61"/>
      <c r="F28" s="61"/>
      <c r="G28" s="58"/>
    </row>
    <row r="29" spans="1:14" ht="21" customHeight="1">
      <c r="A29" s="64"/>
      <c r="B29" s="62"/>
      <c r="C29" s="62"/>
      <c r="D29" s="62"/>
      <c r="E29" s="62"/>
      <c r="F29" s="65"/>
      <c r="G29" s="58"/>
    </row>
    <row r="30" spans="1:14" ht="21" customHeight="1">
      <c r="A30" s="64"/>
      <c r="B30" s="62"/>
      <c r="C30" s="62"/>
      <c r="D30" s="62"/>
      <c r="E30" s="62"/>
      <c r="F30" s="65"/>
      <c r="G30" s="58"/>
    </row>
    <row r="31" spans="1:14" ht="14.45">
      <c r="A31" s="67"/>
      <c r="C31" s="73"/>
      <c r="D31" s="74"/>
      <c r="F31" s="66"/>
      <c r="G31" s="67"/>
    </row>
    <row r="32" spans="1:14" ht="21" customHeight="1">
      <c r="A32" s="64"/>
      <c r="B32" s="62"/>
      <c r="C32" s="62"/>
      <c r="D32" s="62"/>
      <c r="E32" s="62"/>
      <c r="F32" s="65"/>
      <c r="G32" s="58"/>
    </row>
    <row r="33" spans="1:7" ht="21" customHeight="1">
      <c r="A33" s="64"/>
      <c r="B33" s="62"/>
      <c r="C33" s="62"/>
      <c r="D33" s="62"/>
      <c r="E33" s="62"/>
      <c r="F33" s="65"/>
      <c r="G33" s="58"/>
    </row>
    <row r="34" spans="1:7" ht="21" customHeight="1">
      <c r="A34" s="58"/>
      <c r="B34" s="58"/>
      <c r="C34" s="58"/>
      <c r="D34" s="58"/>
      <c r="E34" s="58"/>
      <c r="F34" s="68"/>
      <c r="G34" s="58"/>
    </row>
    <row r="35" spans="1:7" ht="21" customHeight="1">
      <c r="A35" s="58"/>
      <c r="B35" s="58"/>
      <c r="C35" s="58"/>
      <c r="D35" s="58"/>
      <c r="E35" s="58"/>
      <c r="F35" s="68"/>
      <c r="G35" s="58"/>
    </row>
    <row r="36" spans="1:7" ht="21" customHeight="1">
      <c r="A36" s="58"/>
      <c r="B36" s="58"/>
      <c r="C36" s="58"/>
      <c r="D36" s="58"/>
      <c r="E36" s="58"/>
      <c r="F36" s="69"/>
      <c r="G36" s="58"/>
    </row>
    <row r="37" spans="1:7" ht="21" customHeight="1">
      <c r="A37" s="58"/>
      <c r="B37" s="58"/>
      <c r="C37" s="58"/>
      <c r="D37" s="58"/>
      <c r="E37" s="58"/>
      <c r="F37" s="69"/>
      <c r="G37" s="58"/>
    </row>
    <row r="38" spans="1:7" ht="21" customHeight="1">
      <c r="A38" s="58"/>
      <c r="B38" s="58"/>
      <c r="C38" s="58"/>
      <c r="D38" s="58"/>
      <c r="E38" s="58"/>
      <c r="F38" s="69"/>
      <c r="G38" s="58"/>
    </row>
    <row r="39" spans="1:7" ht="21" customHeight="1">
      <c r="A39" s="58"/>
      <c r="B39" s="58"/>
      <c r="C39" s="58"/>
      <c r="D39" s="58"/>
      <c r="E39" s="58"/>
      <c r="F39" s="69"/>
      <c r="G39" s="58"/>
    </row>
    <row r="40" spans="1:7" ht="21" customHeight="1">
      <c r="A40" s="58"/>
      <c r="B40" s="58"/>
      <c r="C40" s="58"/>
      <c r="D40" s="58"/>
      <c r="E40" s="58"/>
      <c r="F40" s="69"/>
      <c r="G40" s="58"/>
    </row>
    <row r="41" spans="1:7" ht="21" customHeight="1">
      <c r="A41" s="58"/>
      <c r="B41" s="58"/>
      <c r="C41" s="58"/>
      <c r="D41" s="58"/>
      <c r="E41" s="58"/>
      <c r="F41" s="69"/>
      <c r="G41" s="58"/>
    </row>
    <row r="42" spans="1:7" ht="21" customHeight="1">
      <c r="A42" s="58"/>
      <c r="B42" s="58"/>
      <c r="C42" s="58"/>
      <c r="D42" s="58"/>
      <c r="E42" s="58"/>
      <c r="F42" s="69"/>
      <c r="G42" s="58"/>
    </row>
    <row r="43" spans="1:7" ht="21" customHeight="1">
      <c r="A43" s="58"/>
      <c r="B43" s="58"/>
      <c r="C43" s="58"/>
      <c r="D43" s="58"/>
      <c r="E43" s="58"/>
      <c r="F43" s="69"/>
      <c r="G43" s="58"/>
    </row>
    <row r="44" spans="1:7" ht="21" customHeight="1">
      <c r="A44" s="58"/>
      <c r="B44" s="58"/>
      <c r="C44" s="58"/>
      <c r="D44" s="58"/>
      <c r="E44" s="58"/>
      <c r="F44" s="69"/>
      <c r="G44" s="58"/>
    </row>
    <row r="45" spans="1:7" ht="21" customHeight="1">
      <c r="A45" s="58"/>
      <c r="B45" s="58"/>
      <c r="C45" s="58"/>
      <c r="D45" s="58"/>
      <c r="E45" s="58"/>
      <c r="F45" s="69"/>
      <c r="G45" s="58"/>
    </row>
    <row r="46" spans="1:7" ht="21" customHeight="1">
      <c r="A46" s="58"/>
      <c r="B46" s="58"/>
      <c r="C46" s="58"/>
      <c r="D46" s="58"/>
      <c r="E46" s="58"/>
      <c r="F46" s="69"/>
      <c r="G46" s="58"/>
    </row>
    <row r="47" spans="1:7" ht="21" customHeight="1">
      <c r="A47" s="58"/>
      <c r="B47" s="58"/>
      <c r="C47" s="58"/>
      <c r="D47" s="58"/>
      <c r="E47" s="58"/>
      <c r="F47" s="69"/>
      <c r="G47" s="58"/>
    </row>
    <row r="48" spans="1:7" ht="21" customHeight="1">
      <c r="A48" s="58"/>
      <c r="B48" s="58"/>
      <c r="C48" s="58"/>
      <c r="D48" s="58"/>
      <c r="E48" s="58"/>
      <c r="F48" s="69"/>
      <c r="G48" s="58"/>
    </row>
    <row r="49" spans="1:7" ht="21" customHeight="1">
      <c r="A49" s="58"/>
      <c r="B49" s="58"/>
      <c r="C49" s="58"/>
      <c r="D49" s="58"/>
      <c r="E49" s="58"/>
      <c r="F49" s="69"/>
      <c r="G49" s="58"/>
    </row>
    <row r="50" spans="1:7" ht="21" customHeight="1">
      <c r="A50" s="58"/>
      <c r="B50" s="58"/>
      <c r="C50" s="58"/>
      <c r="D50" s="58"/>
      <c r="E50" s="58"/>
      <c r="F50" s="69"/>
      <c r="G50" s="58"/>
    </row>
    <row r="51" spans="1:7" ht="21" customHeight="1">
      <c r="A51" s="58"/>
      <c r="B51" s="58"/>
      <c r="C51" s="58"/>
      <c r="D51" s="58"/>
      <c r="E51" s="58"/>
      <c r="F51" s="69"/>
      <c r="G51" s="58"/>
    </row>
    <row r="52" spans="1:7" ht="21" customHeight="1">
      <c r="A52" s="58"/>
      <c r="B52" s="58"/>
      <c r="C52" s="58"/>
      <c r="D52" s="58"/>
      <c r="E52" s="58"/>
      <c r="F52" s="69"/>
      <c r="G52" s="58"/>
    </row>
    <row r="53" spans="1:7" ht="21" customHeight="1">
      <c r="A53" s="58"/>
      <c r="B53" s="58"/>
      <c r="C53" s="58"/>
      <c r="D53" s="58"/>
      <c r="E53" s="58"/>
      <c r="F53" s="69"/>
      <c r="G53" s="58"/>
    </row>
    <row r="54" spans="1:7" ht="21" customHeight="1">
      <c r="A54" s="58"/>
      <c r="B54" s="58"/>
      <c r="C54" s="58"/>
      <c r="D54" s="58"/>
      <c r="E54" s="58"/>
      <c r="F54" s="69"/>
      <c r="G54" s="58"/>
    </row>
    <row r="55" spans="1:7" ht="21" customHeight="1">
      <c r="A55" s="58"/>
      <c r="B55" s="58"/>
      <c r="C55" s="58"/>
      <c r="D55" s="58"/>
      <c r="E55" s="58"/>
      <c r="F55" s="69"/>
      <c r="G55" s="58"/>
    </row>
    <row r="56" spans="1:7" ht="21" customHeight="1">
      <c r="A56" s="58"/>
      <c r="B56" s="58"/>
      <c r="C56" s="58"/>
      <c r="D56" s="58"/>
      <c r="E56" s="58"/>
      <c r="F56" s="69"/>
      <c r="G56" s="58"/>
    </row>
    <row r="57" spans="1:7" ht="21" customHeight="1">
      <c r="A57" s="58"/>
      <c r="B57" s="58"/>
      <c r="C57" s="58"/>
      <c r="D57" s="58"/>
      <c r="E57" s="58"/>
      <c r="F57" s="69"/>
      <c r="G57" s="58"/>
    </row>
    <row r="58" spans="1:7" ht="21" customHeight="1">
      <c r="A58" s="58"/>
      <c r="B58" s="58"/>
      <c r="C58" s="58"/>
      <c r="D58" s="58"/>
      <c r="E58" s="58"/>
      <c r="F58" s="69"/>
      <c r="G58" s="58"/>
    </row>
    <row r="59" spans="1:7" ht="21" customHeight="1">
      <c r="A59" s="58"/>
      <c r="B59" s="58"/>
      <c r="C59" s="58"/>
      <c r="D59" s="58"/>
      <c r="E59" s="58"/>
      <c r="F59" s="69"/>
      <c r="G59" s="58"/>
    </row>
    <row r="60" spans="1:7" ht="21" customHeight="1">
      <c r="A60" s="58"/>
      <c r="B60" s="58"/>
      <c r="C60" s="58"/>
      <c r="D60" s="58"/>
      <c r="E60" s="58"/>
      <c r="F60" s="69"/>
      <c r="G60" s="58"/>
    </row>
    <row r="61" spans="1:7" ht="21" customHeight="1">
      <c r="A61" s="58"/>
      <c r="B61" s="58"/>
      <c r="C61" s="58"/>
      <c r="D61" s="58"/>
      <c r="E61" s="58"/>
      <c r="F61" s="69"/>
      <c r="G61" s="58"/>
    </row>
    <row r="62" spans="1:7" ht="21" customHeight="1">
      <c r="A62" s="58"/>
      <c r="B62" s="58"/>
      <c r="C62" s="58"/>
      <c r="D62" s="58"/>
      <c r="E62" s="58"/>
      <c r="F62" s="69"/>
      <c r="G62" s="58"/>
    </row>
    <row r="63" spans="1:7" ht="21" customHeight="1">
      <c r="A63" s="58"/>
      <c r="B63" s="58"/>
      <c r="C63" s="58"/>
      <c r="D63" s="58"/>
      <c r="E63" s="58"/>
      <c r="F63" s="69"/>
      <c r="G63" s="58"/>
    </row>
    <row r="64" spans="1:7" ht="21" customHeight="1">
      <c r="A64" s="58"/>
      <c r="B64" s="58"/>
      <c r="C64" s="58"/>
      <c r="D64" s="58"/>
      <c r="E64" s="58"/>
      <c r="F64" s="69"/>
      <c r="G64" s="58"/>
    </row>
    <row r="65" spans="1:7" ht="21" customHeight="1">
      <c r="A65" s="58"/>
      <c r="B65" s="58"/>
      <c r="C65" s="58"/>
      <c r="D65" s="58"/>
      <c r="E65" s="58"/>
      <c r="F65" s="69"/>
      <c r="G65" s="58"/>
    </row>
    <row r="66" spans="1:7" ht="21" customHeight="1">
      <c r="A66" s="58"/>
      <c r="B66" s="58"/>
      <c r="C66" s="58"/>
      <c r="D66" s="58"/>
      <c r="E66" s="58"/>
      <c r="F66" s="69"/>
      <c r="G66" s="58"/>
    </row>
    <row r="67" spans="1:7" ht="21" customHeight="1">
      <c r="A67" s="58"/>
      <c r="B67" s="58"/>
      <c r="C67" s="58"/>
      <c r="D67" s="58"/>
      <c r="E67" s="58"/>
      <c r="F67" s="69"/>
      <c r="G67" s="58"/>
    </row>
    <row r="68" spans="1:7" ht="21" customHeight="1">
      <c r="A68" s="58"/>
      <c r="B68" s="58"/>
      <c r="C68" s="58"/>
      <c r="D68" s="58"/>
      <c r="E68" s="58"/>
      <c r="F68" s="69"/>
      <c r="G68" s="58"/>
    </row>
    <row r="69" spans="1:7" ht="21" customHeight="1">
      <c r="A69" s="58"/>
      <c r="B69" s="58"/>
      <c r="C69" s="58"/>
      <c r="D69" s="58"/>
      <c r="E69" s="58"/>
      <c r="F69" s="69"/>
      <c r="G69" s="58"/>
    </row>
    <row r="70" spans="1:7" ht="21" customHeight="1">
      <c r="A70" s="58"/>
      <c r="B70" s="58"/>
      <c r="C70" s="58"/>
      <c r="D70" s="58"/>
      <c r="E70" s="58"/>
      <c r="F70" s="69"/>
      <c r="G70" s="58"/>
    </row>
    <row r="71" spans="1:7" ht="21" customHeight="1">
      <c r="A71" s="58"/>
      <c r="B71" s="58"/>
      <c r="C71" s="58"/>
      <c r="D71" s="58"/>
      <c r="E71" s="58"/>
      <c r="F71" s="69"/>
      <c r="G71" s="58"/>
    </row>
    <row r="72" spans="1:7" ht="21" customHeight="1">
      <c r="A72" s="58"/>
      <c r="B72" s="58"/>
      <c r="C72" s="58"/>
      <c r="D72" s="58"/>
      <c r="E72" s="58"/>
      <c r="F72" s="69"/>
      <c r="G72" s="58"/>
    </row>
    <row r="73" spans="1:7" ht="21" customHeight="1">
      <c r="A73" s="58"/>
      <c r="B73" s="58"/>
      <c r="C73" s="58"/>
      <c r="D73" s="58"/>
      <c r="E73" s="58"/>
      <c r="F73" s="69"/>
      <c r="G73" s="58"/>
    </row>
    <row r="74" spans="1:7" ht="21" customHeight="1">
      <c r="A74" s="58"/>
      <c r="B74" s="58"/>
      <c r="C74" s="58"/>
      <c r="D74" s="58"/>
      <c r="E74" s="58"/>
      <c r="F74" s="69"/>
      <c r="G74" s="58"/>
    </row>
    <row r="75" spans="1:7" ht="21" customHeight="1">
      <c r="A75" s="58"/>
      <c r="B75" s="58"/>
      <c r="C75" s="58"/>
      <c r="D75" s="58"/>
      <c r="E75" s="58"/>
      <c r="F75" s="69"/>
      <c r="G75" s="58"/>
    </row>
    <row r="76" spans="1:7" ht="21" customHeight="1">
      <c r="A76" s="58"/>
      <c r="B76" s="58"/>
      <c r="C76" s="58"/>
      <c r="D76" s="58"/>
      <c r="E76" s="58"/>
      <c r="F76" s="69"/>
      <c r="G76" s="58"/>
    </row>
    <row r="77" spans="1:7" ht="21" customHeight="1">
      <c r="A77" s="58"/>
      <c r="B77" s="58"/>
      <c r="C77" s="58"/>
      <c r="D77" s="58"/>
      <c r="E77" s="58"/>
      <c r="F77" s="69"/>
      <c r="G77" s="58"/>
    </row>
    <row r="78" spans="1:7" ht="21" customHeight="1">
      <c r="A78" s="58"/>
      <c r="B78" s="58"/>
      <c r="C78" s="58"/>
      <c r="D78" s="58"/>
      <c r="E78" s="58"/>
      <c r="F78" s="69"/>
      <c r="G78" s="58"/>
    </row>
    <row r="79" spans="1:7" ht="21" customHeight="1">
      <c r="A79" s="58"/>
      <c r="B79" s="58"/>
      <c r="C79" s="58"/>
      <c r="D79" s="58"/>
      <c r="E79" s="58"/>
      <c r="F79" s="69"/>
      <c r="G79" s="58"/>
    </row>
    <row r="80" spans="1:7" ht="21" customHeight="1">
      <c r="A80" s="58"/>
      <c r="B80" s="58"/>
      <c r="C80" s="58"/>
      <c r="D80" s="58"/>
      <c r="E80" s="58"/>
      <c r="F80" s="69"/>
      <c r="G80" s="58"/>
    </row>
    <row r="81" spans="1:7" ht="21" customHeight="1">
      <c r="A81" s="58"/>
      <c r="B81" s="58"/>
      <c r="C81" s="58"/>
      <c r="D81" s="58"/>
      <c r="E81" s="58"/>
      <c r="F81" s="69"/>
      <c r="G81" s="58"/>
    </row>
    <row r="82" spans="1:7" ht="21" customHeight="1">
      <c r="A82" s="58"/>
      <c r="B82" s="58"/>
      <c r="C82" s="58"/>
      <c r="D82" s="58"/>
      <c r="E82" s="58"/>
      <c r="F82" s="69"/>
      <c r="G82" s="58"/>
    </row>
    <row r="83" spans="1:7" ht="21" customHeight="1">
      <c r="A83" s="58"/>
      <c r="B83" s="58"/>
      <c r="C83" s="58"/>
      <c r="D83" s="58"/>
      <c r="E83" s="58"/>
      <c r="F83" s="69"/>
      <c r="G83" s="58"/>
    </row>
    <row r="84" spans="1:7" ht="21" customHeight="1">
      <c r="A84" s="58"/>
      <c r="B84" s="58"/>
      <c r="C84" s="58"/>
      <c r="D84" s="58"/>
      <c r="E84" s="58"/>
      <c r="F84" s="69"/>
      <c r="G84" s="58"/>
    </row>
    <row r="85" spans="1:7" ht="21" customHeight="1">
      <c r="A85" s="58"/>
      <c r="B85" s="58"/>
      <c r="C85" s="58"/>
      <c r="D85" s="58"/>
      <c r="E85" s="58"/>
      <c r="F85" s="69"/>
      <c r="G85" s="58"/>
    </row>
    <row r="86" spans="1:7" ht="21" customHeight="1">
      <c r="A86" s="58"/>
      <c r="B86" s="58"/>
      <c r="C86" s="58"/>
      <c r="D86" s="58"/>
      <c r="E86" s="58"/>
      <c r="F86" s="69"/>
      <c r="G86" s="58"/>
    </row>
    <row r="87" spans="1:7" ht="21" customHeight="1">
      <c r="A87" s="58"/>
      <c r="B87" s="58"/>
      <c r="C87" s="58"/>
      <c r="D87" s="58"/>
      <c r="E87" s="58"/>
      <c r="F87" s="69"/>
      <c r="G87" s="58"/>
    </row>
    <row r="88" spans="1:7" ht="21" customHeight="1">
      <c r="A88" s="58"/>
      <c r="B88" s="58"/>
      <c r="C88" s="58"/>
      <c r="D88" s="58"/>
      <c r="E88" s="58"/>
      <c r="F88" s="69"/>
      <c r="G88" s="58"/>
    </row>
    <row r="89" spans="1:7" ht="21" customHeight="1">
      <c r="A89" s="58"/>
      <c r="B89" s="58"/>
      <c r="C89" s="58"/>
      <c r="D89" s="58"/>
      <c r="E89" s="58"/>
      <c r="F89" s="69"/>
      <c r="G89" s="58"/>
    </row>
    <row r="90" spans="1:7" ht="21" customHeight="1">
      <c r="A90" s="58"/>
      <c r="B90" s="58"/>
      <c r="C90" s="58"/>
      <c r="D90" s="58"/>
      <c r="E90" s="58"/>
      <c r="F90" s="69"/>
      <c r="G90" s="58"/>
    </row>
    <row r="91" spans="1:7" ht="21" customHeight="1">
      <c r="A91" s="58"/>
      <c r="B91" s="58"/>
      <c r="C91" s="58"/>
      <c r="D91" s="58"/>
      <c r="E91" s="58"/>
      <c r="F91" s="69"/>
      <c r="G91" s="58"/>
    </row>
    <row r="92" spans="1:7" ht="21" customHeight="1">
      <c r="A92" s="58"/>
      <c r="B92" s="58"/>
      <c r="C92" s="58"/>
      <c r="D92" s="58"/>
      <c r="E92" s="58"/>
      <c r="F92" s="69"/>
      <c r="G92" s="58"/>
    </row>
    <row r="93" spans="1:7" ht="21" customHeight="1">
      <c r="A93" s="58"/>
      <c r="B93" s="58"/>
      <c r="C93" s="58"/>
      <c r="D93" s="58"/>
      <c r="E93" s="58"/>
      <c r="F93" s="69"/>
      <c r="G93" s="58"/>
    </row>
    <row r="94" spans="1:7" ht="21" customHeight="1">
      <c r="A94" s="58"/>
      <c r="B94" s="58"/>
      <c r="C94" s="58"/>
      <c r="D94" s="58"/>
      <c r="E94" s="58"/>
      <c r="F94" s="69"/>
      <c r="G94" s="58"/>
    </row>
    <row r="95" spans="1:7" ht="21" customHeight="1">
      <c r="A95" s="58"/>
      <c r="B95" s="58"/>
      <c r="C95" s="58"/>
      <c r="D95" s="58"/>
      <c r="E95" s="58"/>
      <c r="F95" s="69"/>
      <c r="G95" s="58"/>
    </row>
    <row r="96" spans="1:7" ht="21" customHeight="1">
      <c r="A96" s="58"/>
      <c r="B96" s="58"/>
      <c r="C96" s="58"/>
      <c r="D96" s="58"/>
      <c r="E96" s="58"/>
      <c r="F96" s="69"/>
      <c r="G96" s="58"/>
    </row>
    <row r="97" spans="1:7" ht="21" customHeight="1">
      <c r="A97" s="58"/>
      <c r="B97" s="58"/>
      <c r="C97" s="58"/>
      <c r="D97" s="58"/>
      <c r="E97" s="58"/>
      <c r="F97" s="69"/>
      <c r="G97" s="58"/>
    </row>
    <row r="98" spans="1:7" ht="21" customHeight="1">
      <c r="A98" s="58"/>
      <c r="B98" s="58"/>
      <c r="C98" s="58"/>
      <c r="D98" s="58"/>
      <c r="E98" s="58"/>
      <c r="F98" s="69"/>
      <c r="G98" s="58"/>
    </row>
    <row r="99" spans="1:7" ht="21" customHeight="1">
      <c r="A99" s="58"/>
      <c r="B99" s="58"/>
      <c r="C99" s="58"/>
      <c r="D99" s="58"/>
      <c r="E99" s="58"/>
      <c r="F99" s="69"/>
      <c r="G99" s="58"/>
    </row>
    <row r="100" spans="1:7" ht="21" customHeight="1">
      <c r="A100" s="58"/>
      <c r="B100" s="58"/>
      <c r="C100" s="58"/>
      <c r="D100" s="58"/>
      <c r="E100" s="58"/>
      <c r="F100" s="69"/>
      <c r="G100" s="58"/>
    </row>
    <row r="101" spans="1:7" ht="21" customHeight="1">
      <c r="A101" s="58"/>
      <c r="B101" s="58"/>
      <c r="C101" s="58"/>
      <c r="D101" s="58"/>
      <c r="E101" s="58"/>
      <c r="F101" s="69"/>
      <c r="G101" s="58"/>
    </row>
    <row r="102" spans="1:7" ht="21" customHeight="1">
      <c r="A102" s="58"/>
      <c r="B102" s="58"/>
      <c r="C102" s="58"/>
      <c r="D102" s="58"/>
      <c r="E102" s="58"/>
      <c r="F102" s="69"/>
      <c r="G102" s="58"/>
    </row>
    <row r="103" spans="1:7" ht="21" customHeight="1">
      <c r="A103" s="58"/>
      <c r="B103" s="58"/>
      <c r="C103" s="58"/>
      <c r="D103" s="58"/>
      <c r="E103" s="58"/>
      <c r="F103" s="69"/>
      <c r="G103" s="58"/>
    </row>
    <row r="104" spans="1:7" ht="21" customHeight="1">
      <c r="A104" s="58"/>
      <c r="B104" s="58"/>
      <c r="C104" s="58"/>
      <c r="D104" s="58"/>
      <c r="E104" s="58"/>
      <c r="F104" s="69"/>
      <c r="G104" s="58"/>
    </row>
    <row r="105" spans="1:7" ht="21" customHeight="1">
      <c r="A105" s="58"/>
      <c r="B105" s="58"/>
      <c r="C105" s="58"/>
      <c r="D105" s="58"/>
      <c r="E105" s="58"/>
      <c r="F105" s="69"/>
      <c r="G105" s="58"/>
    </row>
    <row r="106" spans="1:7" ht="21" customHeight="1">
      <c r="A106" s="58"/>
      <c r="B106" s="58"/>
      <c r="C106" s="58"/>
      <c r="D106" s="58"/>
      <c r="E106" s="58"/>
      <c r="F106" s="69"/>
      <c r="G106" s="58"/>
    </row>
    <row r="107" spans="1:7" ht="21" customHeight="1">
      <c r="A107" s="58"/>
      <c r="B107" s="58"/>
      <c r="C107" s="58"/>
      <c r="D107" s="58"/>
      <c r="E107" s="58"/>
      <c r="F107" s="69"/>
      <c r="G107" s="58"/>
    </row>
    <row r="108" spans="1:7" ht="21" customHeight="1">
      <c r="A108" s="58"/>
      <c r="B108" s="58"/>
      <c r="C108" s="58"/>
      <c r="D108" s="58"/>
      <c r="E108" s="58"/>
      <c r="F108" s="69"/>
      <c r="G108" s="58"/>
    </row>
    <row r="109" spans="1:7" ht="21" customHeight="1">
      <c r="A109" s="58"/>
      <c r="B109" s="58"/>
      <c r="C109" s="58"/>
      <c r="D109" s="58"/>
      <c r="E109" s="58"/>
      <c r="F109" s="69"/>
      <c r="G109" s="58"/>
    </row>
    <row r="110" spans="1:7" ht="21" customHeight="1">
      <c r="A110" s="58"/>
      <c r="B110" s="58"/>
      <c r="C110" s="58"/>
      <c r="D110" s="58"/>
      <c r="E110" s="58"/>
      <c r="F110" s="69"/>
      <c r="G110" s="58"/>
    </row>
    <row r="111" spans="1:7" ht="21" customHeight="1">
      <c r="A111" s="58"/>
      <c r="B111" s="58"/>
      <c r="C111" s="58"/>
      <c r="D111" s="58"/>
      <c r="E111" s="58"/>
      <c r="F111" s="69"/>
      <c r="G111" s="58"/>
    </row>
    <row r="112" spans="1:7" ht="21" customHeight="1">
      <c r="A112" s="58"/>
      <c r="B112" s="58"/>
      <c r="C112" s="58"/>
      <c r="D112" s="58"/>
      <c r="E112" s="58"/>
      <c r="F112" s="69"/>
      <c r="G112" s="58"/>
    </row>
    <row r="113" spans="1:7" ht="21" customHeight="1">
      <c r="A113" s="58"/>
      <c r="B113" s="58"/>
      <c r="C113" s="58"/>
      <c r="D113" s="58"/>
      <c r="E113" s="58"/>
      <c r="F113" s="69"/>
      <c r="G113" s="58"/>
    </row>
    <row r="114" spans="1:7" ht="21" customHeight="1">
      <c r="A114" s="58"/>
      <c r="B114" s="58"/>
      <c r="C114" s="58"/>
      <c r="D114" s="58"/>
      <c r="E114" s="58"/>
      <c r="F114" s="69"/>
      <c r="G114" s="58"/>
    </row>
    <row r="115" spans="1:7" ht="21" customHeight="1">
      <c r="A115" s="58"/>
      <c r="B115" s="58"/>
      <c r="C115" s="58"/>
      <c r="D115" s="58"/>
      <c r="E115" s="58"/>
      <c r="F115" s="69"/>
      <c r="G115" s="58"/>
    </row>
    <row r="116" spans="1:7" ht="21" customHeight="1">
      <c r="A116" s="58"/>
      <c r="B116" s="58"/>
      <c r="C116" s="58"/>
      <c r="D116" s="58"/>
      <c r="E116" s="58"/>
      <c r="F116" s="69"/>
      <c r="G116" s="58"/>
    </row>
    <row r="117" spans="1:7" ht="21" customHeight="1">
      <c r="A117" s="58"/>
      <c r="B117" s="58"/>
      <c r="C117" s="58"/>
      <c r="D117" s="58"/>
      <c r="E117" s="58"/>
      <c r="F117" s="69"/>
      <c r="G117" s="58"/>
    </row>
    <row r="118" spans="1:7" ht="21" customHeight="1">
      <c r="A118" s="58"/>
      <c r="B118" s="58"/>
      <c r="C118" s="58"/>
      <c r="D118" s="58"/>
      <c r="E118" s="58"/>
      <c r="F118" s="69"/>
      <c r="G118" s="58"/>
    </row>
    <row r="119" spans="1:7" ht="21" customHeight="1">
      <c r="A119" s="58"/>
      <c r="B119" s="58"/>
      <c r="C119" s="58"/>
      <c r="D119" s="58"/>
      <c r="E119" s="58"/>
      <c r="F119" s="69"/>
      <c r="G119" s="58"/>
    </row>
    <row r="120" spans="1:7" ht="21" customHeight="1">
      <c r="A120" s="58"/>
      <c r="B120" s="58"/>
      <c r="C120" s="58"/>
      <c r="D120" s="58"/>
      <c r="E120" s="58"/>
      <c r="F120" s="69"/>
      <c r="G120" s="58"/>
    </row>
    <row r="121" spans="1:7" ht="21" customHeight="1">
      <c r="A121" s="58"/>
      <c r="B121" s="58"/>
      <c r="C121" s="58"/>
      <c r="D121" s="58"/>
      <c r="E121" s="58"/>
      <c r="F121" s="69"/>
      <c r="G121" s="58"/>
    </row>
    <row r="122" spans="1:7" ht="21" customHeight="1">
      <c r="A122" s="58"/>
      <c r="B122" s="58"/>
      <c r="C122" s="58"/>
      <c r="D122" s="58"/>
      <c r="E122" s="58"/>
      <c r="F122" s="69"/>
      <c r="G122" s="58"/>
    </row>
    <row r="123" spans="1:7" ht="21" customHeight="1">
      <c r="A123" s="58"/>
      <c r="B123" s="58"/>
      <c r="C123" s="58"/>
      <c r="D123" s="58"/>
      <c r="E123" s="58"/>
      <c r="F123" s="69"/>
      <c r="G123" s="58"/>
    </row>
    <row r="124" spans="1:7" ht="21" customHeight="1">
      <c r="A124" s="58"/>
      <c r="B124" s="58"/>
      <c r="C124" s="58"/>
      <c r="D124" s="58"/>
      <c r="E124" s="58"/>
      <c r="F124" s="69"/>
      <c r="G124" s="58"/>
    </row>
    <row r="125" spans="1:7" ht="21" customHeight="1">
      <c r="A125" s="58"/>
      <c r="B125" s="58"/>
      <c r="C125" s="58"/>
      <c r="D125" s="58"/>
      <c r="E125" s="58"/>
      <c r="F125" s="69"/>
      <c r="G125" s="58"/>
    </row>
    <row r="126" spans="1:7" ht="21" customHeight="1">
      <c r="A126" s="58"/>
      <c r="B126" s="58"/>
      <c r="C126" s="58"/>
      <c r="D126" s="58"/>
      <c r="E126" s="58"/>
      <c r="F126" s="69"/>
      <c r="G126" s="58"/>
    </row>
    <row r="127" spans="1:7" ht="21" customHeight="1">
      <c r="A127" s="58"/>
      <c r="B127" s="58"/>
      <c r="C127" s="58"/>
      <c r="D127" s="58"/>
      <c r="E127" s="58"/>
      <c r="F127" s="69"/>
      <c r="G127" s="58"/>
    </row>
    <row r="128" spans="1:7" ht="21" customHeight="1">
      <c r="A128" s="58"/>
      <c r="B128" s="58"/>
      <c r="C128" s="58"/>
      <c r="D128" s="58"/>
      <c r="E128" s="58"/>
      <c r="F128" s="69"/>
      <c r="G128" s="58"/>
    </row>
    <row r="129" spans="1:7" ht="21" customHeight="1">
      <c r="A129" s="58"/>
      <c r="B129" s="58"/>
      <c r="C129" s="58"/>
      <c r="D129" s="58"/>
      <c r="E129" s="58"/>
      <c r="F129" s="69"/>
      <c r="G129" s="58"/>
    </row>
    <row r="130" spans="1:7" ht="21" customHeight="1">
      <c r="A130" s="58"/>
      <c r="B130" s="58"/>
      <c r="C130" s="58"/>
      <c r="D130" s="58"/>
      <c r="E130" s="58"/>
      <c r="F130" s="69"/>
      <c r="G130" s="58"/>
    </row>
    <row r="131" spans="1:7" ht="21" customHeight="1">
      <c r="A131" s="58"/>
      <c r="B131" s="58"/>
      <c r="C131" s="58"/>
      <c r="D131" s="58"/>
      <c r="E131" s="58"/>
      <c r="F131" s="69"/>
      <c r="G131" s="58"/>
    </row>
    <row r="132" spans="1:7" ht="21" customHeight="1">
      <c r="A132" s="58"/>
      <c r="B132" s="58"/>
      <c r="C132" s="58"/>
      <c r="D132" s="58"/>
      <c r="E132" s="58"/>
      <c r="F132" s="69"/>
      <c r="G132" s="58"/>
    </row>
    <row r="133" spans="1:7" ht="21" customHeight="1">
      <c r="A133" s="58"/>
      <c r="B133" s="58"/>
      <c r="C133" s="58"/>
      <c r="D133" s="58"/>
      <c r="E133" s="58"/>
      <c r="F133" s="69"/>
      <c r="G133" s="58"/>
    </row>
    <row r="134" spans="1:7" ht="21" customHeight="1">
      <c r="A134" s="58"/>
      <c r="B134" s="58"/>
      <c r="C134" s="58"/>
      <c r="D134" s="58"/>
      <c r="E134" s="58"/>
      <c r="F134" s="69"/>
      <c r="G134" s="58"/>
    </row>
    <row r="135" spans="1:7" ht="21" customHeight="1">
      <c r="A135" s="58"/>
      <c r="B135" s="58"/>
      <c r="C135" s="58"/>
      <c r="D135" s="58"/>
      <c r="E135" s="58"/>
      <c r="F135" s="69"/>
      <c r="G135" s="58"/>
    </row>
    <row r="136" spans="1:7" ht="21" customHeight="1">
      <c r="A136" s="58"/>
      <c r="B136" s="58"/>
      <c r="C136" s="58"/>
      <c r="D136" s="58"/>
      <c r="E136" s="58"/>
      <c r="F136" s="69"/>
      <c r="G136" s="58"/>
    </row>
    <row r="137" spans="1:7" ht="21" customHeight="1">
      <c r="A137" s="58"/>
      <c r="B137" s="58"/>
      <c r="C137" s="58"/>
      <c r="D137" s="58"/>
      <c r="E137" s="58"/>
      <c r="F137" s="69"/>
      <c r="G137" s="58"/>
    </row>
    <row r="138" spans="1:7" ht="21" customHeight="1">
      <c r="A138" s="58"/>
      <c r="B138" s="58"/>
      <c r="C138" s="58"/>
      <c r="D138" s="58"/>
      <c r="E138" s="58"/>
      <c r="F138" s="69"/>
      <c r="G138" s="58"/>
    </row>
    <row r="139" spans="1:7" ht="21" customHeight="1">
      <c r="A139" s="58"/>
      <c r="B139" s="58"/>
      <c r="C139" s="58"/>
      <c r="D139" s="58"/>
      <c r="E139" s="58"/>
      <c r="F139" s="69"/>
      <c r="G139" s="58"/>
    </row>
    <row r="140" spans="1:7" ht="21" customHeight="1">
      <c r="A140" s="58"/>
      <c r="B140" s="58"/>
      <c r="C140" s="58"/>
      <c r="D140" s="58"/>
      <c r="E140" s="58"/>
      <c r="F140" s="69"/>
      <c r="G140" s="58"/>
    </row>
    <row r="141" spans="1:7" ht="21" customHeight="1">
      <c r="A141" s="58"/>
      <c r="B141" s="58"/>
      <c r="C141" s="58"/>
      <c r="D141" s="58"/>
      <c r="E141" s="58"/>
      <c r="F141" s="69"/>
      <c r="G141" s="58"/>
    </row>
    <row r="142" spans="1:7" ht="21" customHeight="1">
      <c r="A142" s="58"/>
      <c r="B142" s="58"/>
      <c r="C142" s="58"/>
      <c r="D142" s="58"/>
      <c r="E142" s="58"/>
      <c r="F142" s="69"/>
      <c r="G142" s="58"/>
    </row>
    <row r="143" spans="1:7" ht="21" customHeight="1">
      <c r="A143" s="58"/>
      <c r="B143" s="58"/>
      <c r="C143" s="58"/>
      <c r="D143" s="58"/>
      <c r="E143" s="58"/>
      <c r="F143" s="69"/>
      <c r="G143" s="58"/>
    </row>
    <row r="144" spans="1:7" ht="21" customHeight="1">
      <c r="A144" s="58"/>
      <c r="B144" s="58"/>
      <c r="C144" s="58"/>
      <c r="D144" s="58"/>
      <c r="E144" s="58"/>
      <c r="F144" s="69"/>
      <c r="G144" s="58"/>
    </row>
    <row r="145" spans="1:7" ht="21" customHeight="1">
      <c r="A145" s="58"/>
      <c r="B145" s="58"/>
      <c r="C145" s="58"/>
      <c r="D145" s="58"/>
      <c r="E145" s="58"/>
      <c r="F145" s="69"/>
      <c r="G145" s="58"/>
    </row>
    <row r="146" spans="1:7" ht="21" customHeight="1">
      <c r="A146" s="58"/>
      <c r="B146" s="58"/>
      <c r="C146" s="58"/>
      <c r="D146" s="58"/>
      <c r="E146" s="58"/>
      <c r="F146" s="69"/>
      <c r="G146" s="58"/>
    </row>
    <row r="147" spans="1:7" ht="21" customHeight="1">
      <c r="A147" s="58"/>
      <c r="B147" s="58"/>
      <c r="C147" s="58"/>
      <c r="D147" s="58"/>
      <c r="E147" s="58"/>
      <c r="F147" s="69"/>
      <c r="G147" s="58"/>
    </row>
    <row r="148" spans="1:7" ht="21" customHeight="1">
      <c r="A148" s="58"/>
      <c r="B148" s="58"/>
      <c r="C148" s="58"/>
      <c r="D148" s="58"/>
      <c r="E148" s="58"/>
      <c r="F148" s="69"/>
      <c r="G148" s="58"/>
    </row>
    <row r="149" spans="1:7" ht="21" customHeight="1">
      <c r="A149" s="58"/>
      <c r="B149" s="58"/>
      <c r="C149" s="58"/>
      <c r="D149" s="58"/>
      <c r="E149" s="58"/>
      <c r="F149" s="69"/>
      <c r="G149" s="58"/>
    </row>
    <row r="150" spans="1:7" ht="21" customHeight="1">
      <c r="A150" s="58"/>
      <c r="B150" s="58"/>
      <c r="C150" s="58"/>
      <c r="D150" s="58"/>
      <c r="E150" s="58"/>
      <c r="F150" s="69"/>
      <c r="G150" s="58"/>
    </row>
    <row r="151" spans="1:7" ht="21" customHeight="1">
      <c r="A151" s="58"/>
      <c r="B151" s="58"/>
      <c r="C151" s="58"/>
      <c r="D151" s="58"/>
      <c r="E151" s="58"/>
      <c r="F151" s="69"/>
      <c r="G151" s="58"/>
    </row>
    <row r="152" spans="1:7" ht="21" customHeight="1">
      <c r="A152" s="58"/>
      <c r="B152" s="58"/>
      <c r="C152" s="58"/>
      <c r="D152" s="58"/>
      <c r="E152" s="58"/>
      <c r="F152" s="69"/>
      <c r="G152" s="58"/>
    </row>
    <row r="153" spans="1:7" ht="21" customHeight="1">
      <c r="A153" s="58"/>
      <c r="B153" s="58"/>
      <c r="C153" s="58"/>
      <c r="D153" s="58"/>
      <c r="E153" s="58"/>
      <c r="F153" s="69"/>
      <c r="G153" s="58"/>
    </row>
    <row r="154" spans="1:7" ht="21" customHeight="1">
      <c r="A154" s="58"/>
      <c r="B154" s="58"/>
      <c r="C154" s="58"/>
      <c r="D154" s="58"/>
      <c r="E154" s="58"/>
      <c r="F154" s="69"/>
      <c r="G154" s="58"/>
    </row>
    <row r="155" spans="1:7" ht="21" customHeight="1">
      <c r="A155" s="58"/>
      <c r="B155" s="58"/>
      <c r="C155" s="58"/>
      <c r="D155" s="58"/>
      <c r="E155" s="58"/>
      <c r="F155" s="69"/>
      <c r="G155" s="58"/>
    </row>
    <row r="156" spans="1:7" ht="21" customHeight="1">
      <c r="A156" s="58"/>
      <c r="B156" s="58"/>
      <c r="C156" s="58"/>
      <c r="D156" s="58"/>
      <c r="E156" s="58"/>
      <c r="F156" s="69"/>
      <c r="G156" s="58"/>
    </row>
    <row r="157" spans="1:7" ht="21" customHeight="1">
      <c r="A157" s="58"/>
      <c r="B157" s="58"/>
      <c r="C157" s="58"/>
      <c r="D157" s="58"/>
      <c r="E157" s="58"/>
      <c r="F157" s="69"/>
      <c r="G157" s="58"/>
    </row>
    <row r="158" spans="1:7" ht="21" customHeight="1">
      <c r="A158" s="58"/>
      <c r="B158" s="58"/>
      <c r="C158" s="58"/>
      <c r="D158" s="58"/>
      <c r="E158" s="58"/>
      <c r="F158" s="69"/>
      <c r="G158" s="58"/>
    </row>
    <row r="159" spans="1:7" ht="21" customHeight="1">
      <c r="A159" s="58"/>
      <c r="B159" s="58"/>
      <c r="C159" s="58"/>
      <c r="D159" s="58"/>
      <c r="E159" s="58"/>
      <c r="F159" s="69"/>
      <c r="G159" s="58"/>
    </row>
    <row r="160" spans="1:7" ht="21" customHeight="1">
      <c r="A160" s="58"/>
      <c r="B160" s="58"/>
      <c r="C160" s="58"/>
      <c r="D160" s="58"/>
      <c r="E160" s="58"/>
      <c r="F160" s="69"/>
      <c r="G160" s="58"/>
    </row>
    <row r="161" spans="1:7" ht="21" customHeight="1">
      <c r="A161" s="58"/>
      <c r="B161" s="58"/>
      <c r="C161" s="58"/>
      <c r="D161" s="58"/>
      <c r="E161" s="58"/>
      <c r="F161" s="69"/>
      <c r="G161" s="58"/>
    </row>
    <row r="162" spans="1:7" ht="21" customHeight="1">
      <c r="A162" s="58"/>
      <c r="B162" s="58"/>
      <c r="C162" s="58"/>
      <c r="D162" s="58"/>
      <c r="E162" s="58"/>
      <c r="F162" s="69"/>
      <c r="G162" s="58"/>
    </row>
    <row r="163" spans="1:7" ht="21" customHeight="1">
      <c r="A163" s="58"/>
      <c r="B163" s="58"/>
      <c r="C163" s="58"/>
      <c r="D163" s="58"/>
      <c r="E163" s="58"/>
      <c r="F163" s="69"/>
      <c r="G163" s="58"/>
    </row>
    <row r="164" spans="1:7" ht="21" customHeight="1">
      <c r="A164" s="58"/>
      <c r="B164" s="58"/>
      <c r="C164" s="58"/>
      <c r="D164" s="58"/>
      <c r="E164" s="58"/>
      <c r="F164" s="69"/>
      <c r="G164" s="58"/>
    </row>
    <row r="165" spans="1:7" ht="21" customHeight="1">
      <c r="A165" s="58"/>
      <c r="B165" s="58"/>
      <c r="C165" s="58"/>
      <c r="D165" s="58"/>
      <c r="E165" s="58"/>
      <c r="F165" s="69"/>
      <c r="G165" s="58"/>
    </row>
    <row r="166" spans="1:7" ht="21" customHeight="1">
      <c r="A166" s="58"/>
      <c r="B166" s="58"/>
      <c r="C166" s="58"/>
      <c r="D166" s="58"/>
      <c r="E166" s="58"/>
      <c r="F166" s="69"/>
      <c r="G166" s="58"/>
    </row>
    <row r="167" spans="1:7" ht="21" customHeight="1">
      <c r="A167" s="58"/>
      <c r="B167" s="58"/>
      <c r="C167" s="58"/>
      <c r="D167" s="58"/>
      <c r="E167" s="58"/>
      <c r="F167" s="69"/>
      <c r="G167" s="58"/>
    </row>
    <row r="168" spans="1:7" ht="21" customHeight="1">
      <c r="A168" s="58"/>
      <c r="B168" s="58"/>
      <c r="C168" s="58"/>
      <c r="D168" s="58"/>
      <c r="E168" s="58"/>
      <c r="F168" s="69"/>
      <c r="G168" s="58"/>
    </row>
    <row r="169" spans="1:7" ht="21" customHeight="1">
      <c r="A169" s="58"/>
      <c r="B169" s="58"/>
      <c r="C169" s="58"/>
      <c r="D169" s="58"/>
      <c r="E169" s="58"/>
      <c r="F169" s="69"/>
      <c r="G169" s="58"/>
    </row>
    <row r="170" spans="1:7" ht="21" customHeight="1">
      <c r="A170" s="58"/>
      <c r="B170" s="58"/>
      <c r="C170" s="58"/>
      <c r="D170" s="58"/>
      <c r="E170" s="58"/>
      <c r="F170" s="69"/>
      <c r="G170" s="58"/>
    </row>
    <row r="171" spans="1:7" ht="21" customHeight="1">
      <c r="A171" s="58"/>
      <c r="B171" s="58"/>
      <c r="C171" s="58"/>
      <c r="D171" s="58"/>
      <c r="E171" s="58"/>
      <c r="F171" s="69"/>
      <c r="G171" s="58"/>
    </row>
    <row r="172" spans="1:7" ht="21" customHeight="1">
      <c r="A172" s="58"/>
      <c r="B172" s="58"/>
      <c r="C172" s="58"/>
      <c r="D172" s="58"/>
      <c r="E172" s="58"/>
      <c r="F172" s="69"/>
      <c r="G172" s="58"/>
    </row>
    <row r="173" spans="1:7" ht="21" customHeight="1">
      <c r="A173" s="58"/>
      <c r="B173" s="58"/>
      <c r="C173" s="58"/>
      <c r="D173" s="58"/>
      <c r="E173" s="58"/>
      <c r="F173" s="69"/>
      <c r="G173" s="58"/>
    </row>
    <row r="174" spans="1:7" ht="21" customHeight="1">
      <c r="A174" s="58"/>
      <c r="B174" s="58"/>
      <c r="C174" s="58"/>
      <c r="D174" s="58"/>
      <c r="E174" s="58"/>
      <c r="F174" s="69"/>
      <c r="G174" s="58"/>
    </row>
    <row r="175" spans="1:7" ht="21" customHeight="1">
      <c r="A175" s="58"/>
      <c r="B175" s="58"/>
      <c r="C175" s="58"/>
      <c r="D175" s="58"/>
      <c r="E175" s="58"/>
      <c r="F175" s="69"/>
      <c r="G175" s="58"/>
    </row>
    <row r="176" spans="1:7" ht="21" customHeight="1">
      <c r="A176" s="58"/>
      <c r="B176" s="58"/>
      <c r="C176" s="58"/>
      <c r="D176" s="58"/>
      <c r="E176" s="58"/>
      <c r="F176" s="69"/>
      <c r="G176" s="58"/>
    </row>
    <row r="177" spans="1:7" ht="21" customHeight="1">
      <c r="A177" s="58"/>
      <c r="B177" s="58"/>
      <c r="C177" s="58"/>
      <c r="D177" s="58"/>
      <c r="E177" s="58"/>
      <c r="F177" s="69"/>
      <c r="G177" s="58"/>
    </row>
    <row r="178" spans="1:7" ht="21" customHeight="1">
      <c r="A178" s="58"/>
      <c r="B178" s="58"/>
      <c r="C178" s="58"/>
      <c r="D178" s="58"/>
      <c r="E178" s="58"/>
      <c r="F178" s="69"/>
      <c r="G178" s="58"/>
    </row>
    <row r="179" spans="1:7" ht="21" customHeight="1">
      <c r="A179" s="58"/>
      <c r="B179" s="58"/>
      <c r="C179" s="58"/>
      <c r="D179" s="58"/>
      <c r="E179" s="58"/>
      <c r="F179" s="69"/>
      <c r="G179" s="58"/>
    </row>
    <row r="180" spans="1:7" ht="21" customHeight="1">
      <c r="A180" s="58"/>
      <c r="B180" s="58"/>
      <c r="C180" s="58"/>
      <c r="D180" s="58"/>
      <c r="E180" s="58"/>
      <c r="F180" s="69"/>
      <c r="G180" s="58"/>
    </row>
    <row r="181" spans="1:7" ht="21" customHeight="1">
      <c r="A181" s="58"/>
      <c r="B181" s="58"/>
      <c r="C181" s="58"/>
      <c r="D181" s="58"/>
      <c r="E181" s="58"/>
      <c r="F181" s="69"/>
      <c r="G181" s="58"/>
    </row>
    <row r="182" spans="1:7" ht="21" customHeight="1">
      <c r="A182" s="58"/>
      <c r="B182" s="58"/>
      <c r="C182" s="58"/>
      <c r="D182" s="58"/>
      <c r="E182" s="58"/>
      <c r="F182" s="69"/>
      <c r="G182" s="58"/>
    </row>
    <row r="183" spans="1:7" ht="21" customHeight="1">
      <c r="A183" s="58"/>
      <c r="B183" s="58"/>
      <c r="C183" s="58"/>
      <c r="D183" s="58"/>
      <c r="E183" s="58"/>
      <c r="F183" s="69"/>
      <c r="G183" s="58"/>
    </row>
    <row r="184" spans="1:7" ht="21" customHeight="1">
      <c r="A184" s="58"/>
      <c r="B184" s="58"/>
      <c r="C184" s="58"/>
      <c r="D184" s="58"/>
      <c r="E184" s="58"/>
      <c r="F184" s="69"/>
      <c r="G184" s="58"/>
    </row>
    <row r="185" spans="1:7" ht="21" customHeight="1">
      <c r="A185" s="58"/>
      <c r="B185" s="58"/>
      <c r="C185" s="58"/>
      <c r="D185" s="58"/>
      <c r="E185" s="58"/>
      <c r="F185" s="69"/>
      <c r="G185" s="58"/>
    </row>
    <row r="186" spans="1:7" ht="21" customHeight="1">
      <c r="A186" s="58"/>
      <c r="B186" s="58"/>
      <c r="C186" s="58"/>
      <c r="D186" s="58"/>
      <c r="E186" s="58"/>
      <c r="F186" s="69"/>
      <c r="G186" s="58"/>
    </row>
    <row r="187" spans="1:7" ht="21" customHeight="1">
      <c r="A187" s="58"/>
      <c r="B187" s="58"/>
      <c r="C187" s="58"/>
      <c r="D187" s="58"/>
      <c r="E187" s="58"/>
      <c r="F187" s="69"/>
      <c r="G187" s="58"/>
    </row>
    <row r="188" spans="1:7" ht="21" customHeight="1">
      <c r="A188" s="58"/>
      <c r="B188" s="58"/>
      <c r="C188" s="58"/>
      <c r="D188" s="58"/>
      <c r="E188" s="58"/>
      <c r="F188" s="69"/>
      <c r="G188" s="58"/>
    </row>
    <row r="189" spans="1:7" ht="21" customHeight="1">
      <c r="A189" s="58"/>
      <c r="B189" s="58"/>
      <c r="C189" s="58"/>
      <c r="D189" s="58"/>
      <c r="E189" s="58"/>
      <c r="F189" s="69"/>
      <c r="G189" s="58"/>
    </row>
    <row r="190" spans="1:7" ht="21" customHeight="1">
      <c r="A190" s="58"/>
      <c r="B190" s="58"/>
      <c r="C190" s="58"/>
      <c r="D190" s="58"/>
      <c r="E190" s="58"/>
      <c r="F190" s="69"/>
      <c r="G190" s="58"/>
    </row>
    <row r="191" spans="1:7" ht="21" customHeight="1">
      <c r="A191" s="58"/>
      <c r="B191" s="58"/>
      <c r="C191" s="58"/>
      <c r="D191" s="58"/>
      <c r="E191" s="58"/>
      <c r="F191" s="69"/>
      <c r="G191" s="58"/>
    </row>
    <row r="192" spans="1:7" ht="21" customHeight="1">
      <c r="A192" s="58"/>
      <c r="B192" s="58"/>
      <c r="C192" s="58"/>
      <c r="D192" s="58"/>
      <c r="E192" s="58"/>
      <c r="F192" s="69"/>
      <c r="G192" s="58"/>
    </row>
    <row r="193" spans="1:7" ht="21" customHeight="1">
      <c r="A193" s="58"/>
      <c r="B193" s="58"/>
      <c r="C193" s="58"/>
      <c r="D193" s="58"/>
      <c r="E193" s="58"/>
      <c r="F193" s="69"/>
      <c r="G193" s="58"/>
    </row>
    <row r="194" spans="1:7" ht="21" customHeight="1">
      <c r="A194" s="58"/>
      <c r="B194" s="58"/>
      <c r="C194" s="58"/>
      <c r="D194" s="58"/>
      <c r="E194" s="58"/>
      <c r="F194" s="69"/>
      <c r="G194" s="58"/>
    </row>
    <row r="195" spans="1:7" ht="21" customHeight="1">
      <c r="A195" s="58"/>
      <c r="B195" s="58"/>
      <c r="C195" s="58"/>
      <c r="D195" s="58"/>
      <c r="E195" s="58"/>
      <c r="F195" s="69"/>
      <c r="G195" s="58"/>
    </row>
    <row r="196" spans="1:7" ht="21" customHeight="1">
      <c r="A196" s="58"/>
      <c r="B196" s="58"/>
      <c r="C196" s="58"/>
      <c r="D196" s="58"/>
      <c r="E196" s="58"/>
      <c r="F196" s="69"/>
      <c r="G196" s="58"/>
    </row>
    <row r="197" spans="1:7" ht="21" customHeight="1">
      <c r="A197" s="58"/>
      <c r="B197" s="58"/>
      <c r="C197" s="58"/>
      <c r="D197" s="58"/>
      <c r="E197" s="58"/>
      <c r="F197" s="69"/>
      <c r="G197" s="58"/>
    </row>
    <row r="198" spans="1:7" ht="21" customHeight="1">
      <c r="A198" s="58"/>
      <c r="B198" s="58"/>
      <c r="C198" s="58"/>
      <c r="D198" s="58"/>
      <c r="E198" s="58"/>
      <c r="F198" s="69"/>
      <c r="G198" s="58"/>
    </row>
    <row r="199" spans="1:7" ht="21" customHeight="1">
      <c r="A199" s="58"/>
      <c r="B199" s="58"/>
      <c r="C199" s="58"/>
      <c r="D199" s="58"/>
      <c r="E199" s="58"/>
      <c r="F199" s="69"/>
      <c r="G199" s="58"/>
    </row>
    <row r="200" spans="1:7" ht="21" customHeight="1">
      <c r="A200" s="58"/>
      <c r="B200" s="58"/>
      <c r="C200" s="58"/>
      <c r="D200" s="58"/>
      <c r="E200" s="58"/>
      <c r="F200" s="69"/>
      <c r="G200" s="58"/>
    </row>
    <row r="201" spans="1:7" ht="21" customHeight="1">
      <c r="A201" s="58"/>
      <c r="B201" s="58"/>
      <c r="C201" s="58"/>
      <c r="D201" s="58"/>
      <c r="E201" s="58"/>
      <c r="F201" s="69"/>
      <c r="G201" s="58"/>
    </row>
    <row r="202" spans="1:7" ht="21" customHeight="1">
      <c r="A202" s="58"/>
      <c r="B202" s="58"/>
      <c r="C202" s="58"/>
      <c r="D202" s="58"/>
      <c r="E202" s="58"/>
      <c r="F202" s="69"/>
      <c r="G202" s="58"/>
    </row>
    <row r="203" spans="1:7" ht="21" customHeight="1">
      <c r="A203" s="58"/>
      <c r="B203" s="58"/>
      <c r="C203" s="58"/>
      <c r="D203" s="58"/>
      <c r="E203" s="58"/>
      <c r="F203" s="69"/>
      <c r="G203" s="58"/>
    </row>
    <row r="204" spans="1:7" ht="21" customHeight="1">
      <c r="A204" s="58"/>
      <c r="B204" s="58"/>
      <c r="C204" s="58"/>
      <c r="D204" s="58"/>
      <c r="E204" s="58"/>
      <c r="F204" s="69"/>
      <c r="G204" s="58"/>
    </row>
    <row r="205" spans="1:7" ht="21" customHeight="1">
      <c r="A205" s="58"/>
      <c r="B205" s="58"/>
      <c r="C205" s="58"/>
      <c r="D205" s="58"/>
      <c r="E205" s="58"/>
      <c r="F205" s="69"/>
      <c r="G205" s="58"/>
    </row>
    <row r="206" spans="1:7" ht="21" customHeight="1">
      <c r="A206" s="58"/>
      <c r="B206" s="58"/>
      <c r="C206" s="58"/>
      <c r="D206" s="58"/>
      <c r="E206" s="58"/>
      <c r="F206" s="69"/>
      <c r="G206" s="58"/>
    </row>
    <row r="207" spans="1:7" ht="21" customHeight="1">
      <c r="A207" s="58"/>
      <c r="B207" s="58"/>
      <c r="C207" s="58"/>
      <c r="D207" s="58"/>
      <c r="E207" s="58"/>
      <c r="F207" s="69"/>
      <c r="G207" s="58"/>
    </row>
    <row r="208" spans="1:7" ht="21" customHeight="1">
      <c r="A208" s="58"/>
      <c r="B208" s="58"/>
      <c r="C208" s="58"/>
      <c r="D208" s="58"/>
      <c r="E208" s="58"/>
      <c r="F208" s="69"/>
      <c r="G208" s="58"/>
    </row>
    <row r="209" spans="1:7" ht="21" customHeight="1">
      <c r="A209" s="58"/>
      <c r="B209" s="58"/>
      <c r="C209" s="58"/>
      <c r="D209" s="58"/>
      <c r="E209" s="58"/>
      <c r="F209" s="69"/>
      <c r="G209" s="58"/>
    </row>
    <row r="210" spans="1:7" ht="21" customHeight="1">
      <c r="A210" s="58"/>
      <c r="B210" s="58"/>
      <c r="C210" s="58"/>
      <c r="D210" s="58"/>
      <c r="E210" s="58"/>
      <c r="F210" s="69"/>
      <c r="G210" s="58"/>
    </row>
    <row r="211" spans="1:7" ht="21" customHeight="1">
      <c r="A211" s="58"/>
      <c r="B211" s="58"/>
      <c r="C211" s="58"/>
      <c r="D211" s="58"/>
      <c r="E211" s="58"/>
      <c r="F211" s="69"/>
      <c r="G211" s="58"/>
    </row>
    <row r="212" spans="1:7" ht="21" customHeight="1">
      <c r="A212" s="58"/>
      <c r="B212" s="58"/>
      <c r="C212" s="58"/>
      <c r="D212" s="58"/>
      <c r="E212" s="58"/>
      <c r="F212" s="69"/>
      <c r="G212" s="58"/>
    </row>
    <row r="213" spans="1:7" ht="21" customHeight="1">
      <c r="A213" s="58"/>
      <c r="B213" s="58"/>
      <c r="C213" s="58"/>
      <c r="D213" s="58"/>
      <c r="E213" s="58"/>
      <c r="F213" s="69"/>
      <c r="G213" s="58"/>
    </row>
    <row r="214" spans="1:7" ht="21" customHeight="1">
      <c r="A214" s="58"/>
      <c r="B214" s="58"/>
      <c r="C214" s="58"/>
      <c r="D214" s="58"/>
      <c r="E214" s="58"/>
      <c r="F214" s="69"/>
      <c r="G214" s="58"/>
    </row>
    <row r="215" spans="1:7" ht="21" customHeight="1">
      <c r="A215" s="58"/>
      <c r="B215" s="58"/>
      <c r="C215" s="58"/>
      <c r="D215" s="58"/>
      <c r="E215" s="58"/>
      <c r="F215" s="69"/>
      <c r="G215" s="58"/>
    </row>
    <row r="216" spans="1:7" ht="21" customHeight="1">
      <c r="A216" s="58"/>
      <c r="B216" s="58"/>
      <c r="C216" s="58"/>
      <c r="D216" s="58"/>
      <c r="E216" s="58"/>
      <c r="F216" s="69"/>
      <c r="G216" s="58"/>
    </row>
    <row r="217" spans="1:7" ht="21" customHeight="1">
      <c r="A217" s="58"/>
      <c r="B217" s="58"/>
      <c r="C217" s="58"/>
      <c r="D217" s="58"/>
      <c r="E217" s="58"/>
      <c r="F217" s="69"/>
      <c r="G217" s="58"/>
    </row>
    <row r="218" spans="1:7" ht="21" customHeight="1">
      <c r="A218" s="58"/>
      <c r="B218" s="58"/>
      <c r="C218" s="58"/>
      <c r="D218" s="58"/>
      <c r="E218" s="58"/>
      <c r="F218" s="69"/>
      <c r="G218" s="58"/>
    </row>
    <row r="219" spans="1:7" ht="21" customHeight="1">
      <c r="A219" s="58"/>
      <c r="B219" s="58"/>
      <c r="C219" s="58"/>
      <c r="D219" s="58"/>
      <c r="E219" s="58"/>
      <c r="F219" s="69"/>
      <c r="G219" s="58"/>
    </row>
    <row r="220" spans="1:7" ht="21" customHeight="1">
      <c r="A220" s="58"/>
      <c r="B220" s="58"/>
      <c r="C220" s="58"/>
      <c r="D220" s="58"/>
      <c r="E220" s="58"/>
      <c r="F220" s="69"/>
      <c r="G220" s="58"/>
    </row>
    <row r="221" spans="1:7" ht="21" customHeight="1">
      <c r="A221" s="58"/>
      <c r="B221" s="58"/>
      <c r="C221" s="58"/>
      <c r="D221" s="58"/>
      <c r="E221" s="58"/>
      <c r="F221" s="69"/>
      <c r="G221" s="58"/>
    </row>
    <row r="222" spans="1:7" ht="21" customHeight="1">
      <c r="A222" s="58"/>
      <c r="B222" s="58"/>
      <c r="C222" s="58"/>
      <c r="D222" s="58"/>
      <c r="E222" s="58"/>
      <c r="F222" s="69"/>
      <c r="G222" s="58"/>
    </row>
    <row r="223" spans="1:7" ht="21" customHeight="1">
      <c r="A223" s="58"/>
      <c r="B223" s="58"/>
      <c r="C223" s="58"/>
      <c r="D223" s="58"/>
      <c r="E223" s="58"/>
      <c r="F223" s="69"/>
      <c r="G223" s="58"/>
    </row>
    <row r="224" spans="1:7" ht="21" customHeight="1">
      <c r="A224" s="58"/>
      <c r="B224" s="58"/>
      <c r="C224" s="58"/>
      <c r="D224" s="58"/>
      <c r="E224" s="58"/>
      <c r="F224" s="69"/>
      <c r="G224" s="58"/>
    </row>
    <row r="225" spans="1:7" ht="21" customHeight="1">
      <c r="A225" s="58"/>
      <c r="B225" s="58"/>
      <c r="C225" s="58"/>
      <c r="D225" s="58"/>
      <c r="E225" s="58"/>
      <c r="F225" s="69"/>
      <c r="G225" s="58"/>
    </row>
    <row r="226" spans="1:7" ht="21" customHeight="1">
      <c r="A226" s="58"/>
      <c r="B226" s="58"/>
      <c r="C226" s="58"/>
      <c r="D226" s="58"/>
      <c r="E226" s="58"/>
      <c r="F226" s="69"/>
      <c r="G226" s="58"/>
    </row>
    <row r="227" spans="1:7" ht="21" customHeight="1">
      <c r="A227" s="58"/>
      <c r="B227" s="58"/>
      <c r="C227" s="58"/>
      <c r="D227" s="58"/>
      <c r="E227" s="58"/>
      <c r="F227" s="69"/>
      <c r="G227" s="58"/>
    </row>
    <row r="228" spans="1:7" ht="21" customHeight="1">
      <c r="A228" s="58"/>
      <c r="B228" s="58"/>
      <c r="C228" s="58"/>
      <c r="D228" s="58"/>
      <c r="E228" s="58"/>
      <c r="F228" s="69"/>
      <c r="G228" s="58"/>
    </row>
    <row r="229" spans="1:7" ht="21" customHeight="1">
      <c r="A229" s="58"/>
      <c r="B229" s="58"/>
      <c r="C229" s="58"/>
      <c r="D229" s="58"/>
      <c r="E229" s="58"/>
      <c r="F229" s="69"/>
      <c r="G229" s="58"/>
    </row>
    <row r="230" spans="1:7" ht="21" customHeight="1">
      <c r="A230" s="58"/>
      <c r="B230" s="58"/>
      <c r="C230" s="58"/>
      <c r="D230" s="58"/>
      <c r="E230" s="58"/>
      <c r="F230" s="69"/>
      <c r="G230" s="58"/>
    </row>
    <row r="231" spans="1:7" ht="21" customHeight="1">
      <c r="A231" s="58"/>
      <c r="B231" s="58"/>
      <c r="C231" s="58"/>
      <c r="D231" s="58"/>
      <c r="E231" s="58"/>
      <c r="F231" s="69"/>
      <c r="G231" s="58"/>
    </row>
    <row r="232" spans="1:7" ht="21" customHeight="1">
      <c r="B232" s="70"/>
      <c r="F232" s="66"/>
    </row>
    <row r="233" spans="1:7" ht="21" customHeight="1">
      <c r="B233" s="70"/>
      <c r="F233" s="66"/>
    </row>
    <row r="234" spans="1:7" ht="21" customHeight="1">
      <c r="B234" s="70"/>
      <c r="F234" s="66"/>
    </row>
    <row r="235" spans="1:7" ht="21" customHeight="1">
      <c r="B235" s="70"/>
      <c r="F235" s="66"/>
    </row>
    <row r="236" spans="1:7" ht="21" customHeight="1">
      <c r="B236" s="70"/>
      <c r="F236" s="66"/>
    </row>
    <row r="237" spans="1:7" ht="21" customHeight="1">
      <c r="B237" s="70"/>
      <c r="F237" s="66"/>
    </row>
    <row r="238" spans="1:7" ht="21" customHeight="1">
      <c r="B238" s="70"/>
      <c r="F238" s="66"/>
    </row>
    <row r="239" spans="1:7" ht="21" customHeight="1">
      <c r="B239" s="70"/>
      <c r="F239" s="66"/>
    </row>
    <row r="240" spans="1:7" ht="21" customHeight="1">
      <c r="B240" s="70"/>
      <c r="F240" s="66"/>
    </row>
    <row r="241" spans="2:6" ht="21" customHeight="1">
      <c r="B241" s="70"/>
      <c r="F241" s="66"/>
    </row>
    <row r="242" spans="2:6" ht="21" customHeight="1">
      <c r="B242" s="70"/>
      <c r="F242" s="66"/>
    </row>
    <row r="243" spans="2:6" ht="21" customHeight="1">
      <c r="B243" s="70"/>
      <c r="F243" s="66"/>
    </row>
    <row r="244" spans="2:6" ht="21" customHeight="1">
      <c r="B244" s="70"/>
      <c r="F244" s="66"/>
    </row>
    <row r="245" spans="2:6" ht="21" customHeight="1">
      <c r="B245" s="70"/>
      <c r="F245" s="66"/>
    </row>
    <row r="246" spans="2:6" ht="21" customHeight="1">
      <c r="B246" s="70"/>
      <c r="F246" s="66"/>
    </row>
    <row r="247" spans="2:6" ht="21" customHeight="1">
      <c r="B247" s="70"/>
      <c r="F247" s="66"/>
    </row>
    <row r="248" spans="2:6" ht="21" customHeight="1">
      <c r="B248" s="70"/>
      <c r="F248" s="66"/>
    </row>
    <row r="249" spans="2:6" ht="21" customHeight="1">
      <c r="B249" s="70"/>
      <c r="F249" s="66"/>
    </row>
    <row r="250" spans="2:6" ht="21" customHeight="1">
      <c r="B250" s="70"/>
      <c r="F250" s="66"/>
    </row>
    <row r="251" spans="2:6" ht="21" customHeight="1">
      <c r="B251" s="70"/>
      <c r="F251" s="66"/>
    </row>
    <row r="252" spans="2:6" ht="21" customHeight="1">
      <c r="B252" s="70"/>
      <c r="F252" s="66"/>
    </row>
    <row r="253" spans="2:6" ht="21" customHeight="1">
      <c r="B253" s="70"/>
      <c r="F253" s="66"/>
    </row>
    <row r="254" spans="2:6" ht="21" customHeight="1">
      <c r="B254" s="70"/>
      <c r="F254" s="66"/>
    </row>
    <row r="255" spans="2:6" ht="21" customHeight="1">
      <c r="B255" s="70"/>
      <c r="F255" s="66"/>
    </row>
    <row r="256" spans="2:6" ht="21" customHeight="1">
      <c r="B256" s="70"/>
      <c r="F256" s="66"/>
    </row>
    <row r="257" spans="2:6" ht="21" customHeight="1">
      <c r="B257" s="70"/>
      <c r="F257" s="66"/>
    </row>
    <row r="258" spans="2:6" ht="21" customHeight="1">
      <c r="B258" s="70"/>
      <c r="F258" s="66"/>
    </row>
    <row r="259" spans="2:6" ht="21" customHeight="1">
      <c r="B259" s="70"/>
      <c r="F259" s="66"/>
    </row>
    <row r="260" spans="2:6" ht="21" customHeight="1">
      <c r="B260" s="70"/>
      <c r="F260" s="66"/>
    </row>
    <row r="261" spans="2:6" ht="21" customHeight="1">
      <c r="B261" s="70"/>
      <c r="F261" s="66"/>
    </row>
    <row r="262" spans="2:6" ht="21" customHeight="1">
      <c r="B262" s="70"/>
      <c r="F262" s="66"/>
    </row>
    <row r="263" spans="2:6" ht="21" customHeight="1">
      <c r="B263" s="70"/>
      <c r="F263" s="66"/>
    </row>
    <row r="264" spans="2:6" ht="21" customHeight="1">
      <c r="B264" s="70"/>
      <c r="F264" s="66"/>
    </row>
    <row r="265" spans="2:6" ht="21" customHeight="1">
      <c r="B265" s="70"/>
      <c r="F265" s="66"/>
    </row>
    <row r="266" spans="2:6" ht="21" customHeight="1">
      <c r="B266" s="70"/>
      <c r="F266" s="66"/>
    </row>
    <row r="267" spans="2:6" ht="21" customHeight="1">
      <c r="B267" s="70"/>
      <c r="F267" s="66"/>
    </row>
    <row r="268" spans="2:6" ht="21" customHeight="1">
      <c r="B268" s="70"/>
      <c r="F268" s="66"/>
    </row>
    <row r="269" spans="2:6" ht="21" customHeight="1">
      <c r="B269" s="70"/>
      <c r="F269" s="66"/>
    </row>
    <row r="270" spans="2:6" ht="21" customHeight="1">
      <c r="B270" s="70"/>
      <c r="F270" s="66"/>
    </row>
    <row r="271" spans="2:6" ht="21" customHeight="1">
      <c r="B271" s="70"/>
      <c r="F271" s="66"/>
    </row>
    <row r="272" spans="2:6" ht="21" customHeight="1">
      <c r="B272" s="70"/>
      <c r="F272" s="66"/>
    </row>
    <row r="273" spans="2:6" ht="21" customHeight="1">
      <c r="B273" s="70"/>
      <c r="F273" s="66"/>
    </row>
    <row r="274" spans="2:6" ht="21" customHeight="1">
      <c r="B274" s="70"/>
      <c r="F274" s="66"/>
    </row>
    <row r="275" spans="2:6" ht="21" customHeight="1">
      <c r="B275" s="70"/>
      <c r="F275" s="66"/>
    </row>
    <row r="276" spans="2:6" ht="21" customHeight="1">
      <c r="B276" s="70"/>
      <c r="F276" s="66"/>
    </row>
    <row r="277" spans="2:6" ht="21" customHeight="1">
      <c r="B277" s="70"/>
      <c r="F277" s="66"/>
    </row>
    <row r="278" spans="2:6" ht="21" customHeight="1">
      <c r="B278" s="70"/>
      <c r="F278" s="66"/>
    </row>
    <row r="279" spans="2:6" ht="21" customHeight="1">
      <c r="B279" s="70"/>
      <c r="F279" s="66"/>
    </row>
    <row r="280" spans="2:6" ht="21" customHeight="1">
      <c r="B280" s="70"/>
      <c r="F280" s="66"/>
    </row>
    <row r="281" spans="2:6" ht="21" customHeight="1">
      <c r="B281" s="70"/>
      <c r="F281" s="66"/>
    </row>
    <row r="282" spans="2:6" ht="21" customHeight="1">
      <c r="B282" s="70"/>
      <c r="F282" s="66"/>
    </row>
    <row r="283" spans="2:6" ht="21" customHeight="1">
      <c r="B283" s="70"/>
      <c r="F283" s="66"/>
    </row>
    <row r="284" spans="2:6" ht="21" customHeight="1">
      <c r="B284" s="70"/>
      <c r="F284" s="66"/>
    </row>
    <row r="285" spans="2:6" ht="21" customHeight="1">
      <c r="B285" s="70"/>
      <c r="F285" s="66"/>
    </row>
    <row r="286" spans="2:6" ht="21" customHeight="1">
      <c r="B286" s="70"/>
      <c r="F286" s="66"/>
    </row>
    <row r="287" spans="2:6" ht="21" customHeight="1">
      <c r="B287" s="70"/>
      <c r="F287" s="66"/>
    </row>
    <row r="288" spans="2:6" ht="21" customHeight="1">
      <c r="B288" s="70"/>
      <c r="F288" s="66"/>
    </row>
    <row r="289" spans="2:6" ht="21" customHeight="1">
      <c r="B289" s="70"/>
      <c r="F289" s="66"/>
    </row>
    <row r="290" spans="2:6" ht="21" customHeight="1">
      <c r="B290" s="70"/>
      <c r="F290" s="66"/>
    </row>
    <row r="291" spans="2:6" ht="21" customHeight="1">
      <c r="B291" s="70"/>
      <c r="F291" s="66"/>
    </row>
    <row r="292" spans="2:6" ht="21" customHeight="1">
      <c r="B292" s="70"/>
      <c r="F292" s="66"/>
    </row>
    <row r="293" spans="2:6" ht="21" customHeight="1">
      <c r="B293" s="70"/>
      <c r="F293" s="66"/>
    </row>
    <row r="294" spans="2:6" ht="21" customHeight="1">
      <c r="B294" s="70"/>
      <c r="F294" s="66"/>
    </row>
    <row r="295" spans="2:6" ht="21" customHeight="1">
      <c r="B295" s="70"/>
      <c r="F295" s="66"/>
    </row>
    <row r="296" spans="2:6" ht="21" customHeight="1">
      <c r="B296" s="70"/>
      <c r="F296" s="66"/>
    </row>
    <row r="297" spans="2:6" ht="21" customHeight="1">
      <c r="B297" s="70"/>
      <c r="F297" s="66"/>
    </row>
    <row r="298" spans="2:6" ht="21" customHeight="1">
      <c r="B298" s="70"/>
      <c r="F298" s="66"/>
    </row>
    <row r="299" spans="2:6" ht="21" customHeight="1">
      <c r="B299" s="70"/>
      <c r="F299" s="66"/>
    </row>
    <row r="300" spans="2:6" ht="21" customHeight="1">
      <c r="B300" s="70"/>
      <c r="F300" s="66"/>
    </row>
    <row r="301" spans="2:6" ht="21" customHeight="1">
      <c r="B301" s="70"/>
      <c r="F301" s="66"/>
    </row>
    <row r="302" spans="2:6" ht="21" customHeight="1">
      <c r="B302" s="70"/>
      <c r="F302" s="66"/>
    </row>
    <row r="303" spans="2:6" ht="21" customHeight="1">
      <c r="B303" s="70"/>
      <c r="F303" s="66"/>
    </row>
    <row r="304" spans="2:6" ht="21" customHeight="1">
      <c r="B304" s="70"/>
      <c r="F304" s="66"/>
    </row>
    <row r="305" spans="2:6" ht="21" customHeight="1">
      <c r="B305" s="70"/>
      <c r="F305" s="66"/>
    </row>
    <row r="306" spans="2:6" ht="21" customHeight="1">
      <c r="B306" s="70"/>
      <c r="F306" s="66"/>
    </row>
    <row r="307" spans="2:6" ht="21" customHeight="1">
      <c r="B307" s="70"/>
      <c r="F307" s="66"/>
    </row>
    <row r="308" spans="2:6" ht="21" customHeight="1">
      <c r="B308" s="70"/>
      <c r="F308" s="66"/>
    </row>
    <row r="309" spans="2:6" ht="21" customHeight="1">
      <c r="B309" s="70"/>
      <c r="F309" s="66"/>
    </row>
    <row r="310" spans="2:6" ht="21" customHeight="1">
      <c r="B310" s="70"/>
      <c r="F310" s="66"/>
    </row>
    <row r="311" spans="2:6" ht="21" customHeight="1">
      <c r="B311" s="70"/>
      <c r="F311" s="66"/>
    </row>
    <row r="312" spans="2:6" ht="21" customHeight="1">
      <c r="B312" s="70"/>
      <c r="F312" s="66"/>
    </row>
    <row r="313" spans="2:6" ht="21" customHeight="1">
      <c r="B313" s="70"/>
      <c r="F313" s="66"/>
    </row>
    <row r="314" spans="2:6" ht="21" customHeight="1">
      <c r="B314" s="70"/>
      <c r="F314" s="66"/>
    </row>
    <row r="315" spans="2:6" ht="21" customHeight="1">
      <c r="B315" s="70"/>
      <c r="F315" s="66"/>
    </row>
    <row r="316" spans="2:6" ht="21" customHeight="1">
      <c r="B316" s="70"/>
      <c r="F316" s="66"/>
    </row>
    <row r="317" spans="2:6" ht="21" customHeight="1">
      <c r="B317" s="70"/>
      <c r="F317" s="66"/>
    </row>
    <row r="318" spans="2:6" ht="21" customHeight="1">
      <c r="B318" s="70"/>
      <c r="F318" s="66"/>
    </row>
    <row r="319" spans="2:6" ht="21" customHeight="1">
      <c r="B319" s="70"/>
      <c r="F319" s="66"/>
    </row>
    <row r="320" spans="2:6" ht="21" customHeight="1">
      <c r="B320" s="70"/>
      <c r="F320" s="66"/>
    </row>
    <row r="321" spans="2:6" ht="21" customHeight="1">
      <c r="B321" s="70"/>
      <c r="F321" s="66"/>
    </row>
    <row r="322" spans="2:6" ht="21" customHeight="1">
      <c r="B322" s="70"/>
      <c r="F322" s="66"/>
    </row>
    <row r="323" spans="2:6" ht="21" customHeight="1">
      <c r="B323" s="70"/>
      <c r="F323" s="66"/>
    </row>
    <row r="324" spans="2:6" ht="21" customHeight="1">
      <c r="B324" s="70"/>
      <c r="F324" s="66"/>
    </row>
    <row r="325" spans="2:6" ht="21" customHeight="1">
      <c r="B325" s="70"/>
      <c r="F325" s="66"/>
    </row>
    <row r="326" spans="2:6" ht="21" customHeight="1">
      <c r="B326" s="70"/>
      <c r="F326" s="66"/>
    </row>
    <row r="327" spans="2:6" ht="21" customHeight="1">
      <c r="B327" s="70"/>
      <c r="F327" s="66"/>
    </row>
    <row r="328" spans="2:6" ht="21" customHeight="1">
      <c r="B328" s="70"/>
      <c r="F328" s="66"/>
    </row>
    <row r="329" spans="2:6" ht="21" customHeight="1">
      <c r="B329" s="70"/>
      <c r="F329" s="66"/>
    </row>
    <row r="330" spans="2:6" ht="21" customHeight="1">
      <c r="B330" s="70"/>
      <c r="F330" s="66"/>
    </row>
    <row r="331" spans="2:6" ht="21" customHeight="1">
      <c r="B331" s="70"/>
      <c r="F331" s="66"/>
    </row>
    <row r="332" spans="2:6" ht="21" customHeight="1">
      <c r="B332" s="70"/>
      <c r="F332" s="66"/>
    </row>
    <row r="333" spans="2:6" ht="21" customHeight="1">
      <c r="B333" s="70"/>
      <c r="F333" s="66"/>
    </row>
    <row r="334" spans="2:6" ht="21" customHeight="1">
      <c r="B334" s="70"/>
      <c r="F334" s="66"/>
    </row>
    <row r="335" spans="2:6" ht="21" customHeight="1">
      <c r="B335" s="70"/>
      <c r="F335" s="66"/>
    </row>
    <row r="336" spans="2:6" ht="21" customHeight="1">
      <c r="B336" s="70"/>
      <c r="F336" s="66"/>
    </row>
    <row r="337" spans="2:6" ht="21" customHeight="1">
      <c r="B337" s="70"/>
      <c r="F337" s="66"/>
    </row>
    <row r="338" spans="2:6" ht="21" customHeight="1">
      <c r="B338" s="70"/>
      <c r="F338" s="66"/>
    </row>
    <row r="339" spans="2:6" ht="21" customHeight="1">
      <c r="B339" s="70"/>
      <c r="F339" s="66"/>
    </row>
    <row r="340" spans="2:6" ht="21" customHeight="1">
      <c r="B340" s="70"/>
      <c r="F340" s="66"/>
    </row>
    <row r="341" spans="2:6" ht="21" customHeight="1">
      <c r="B341" s="70"/>
      <c r="F341" s="66"/>
    </row>
    <row r="342" spans="2:6" ht="21" customHeight="1">
      <c r="B342" s="70"/>
      <c r="F342" s="66"/>
    </row>
    <row r="343" spans="2:6" ht="21" customHeight="1">
      <c r="B343" s="70"/>
      <c r="F343" s="66"/>
    </row>
    <row r="344" spans="2:6" ht="21" customHeight="1">
      <c r="B344" s="70"/>
      <c r="F344" s="66"/>
    </row>
    <row r="345" spans="2:6" ht="21" customHeight="1">
      <c r="B345" s="70"/>
      <c r="F345" s="66"/>
    </row>
    <row r="346" spans="2:6" ht="21" customHeight="1">
      <c r="B346" s="70"/>
      <c r="F346" s="66"/>
    </row>
    <row r="347" spans="2:6" ht="21" customHeight="1">
      <c r="B347" s="70"/>
      <c r="F347" s="66"/>
    </row>
    <row r="348" spans="2:6" ht="21" customHeight="1">
      <c r="B348" s="70"/>
      <c r="F348" s="66"/>
    </row>
    <row r="349" spans="2:6" ht="21" customHeight="1">
      <c r="B349" s="70"/>
      <c r="F349" s="66"/>
    </row>
    <row r="350" spans="2:6" ht="21" customHeight="1">
      <c r="B350" s="70"/>
      <c r="F350" s="66"/>
    </row>
    <row r="351" spans="2:6" ht="21" customHeight="1">
      <c r="B351" s="70"/>
      <c r="F351" s="66"/>
    </row>
    <row r="352" spans="2:6" ht="21" customHeight="1">
      <c r="B352" s="70"/>
      <c r="F352" s="66"/>
    </row>
    <row r="353" spans="2:6" ht="21" customHeight="1">
      <c r="B353" s="70"/>
      <c r="F353" s="66"/>
    </row>
    <row r="354" spans="2:6" ht="21" customHeight="1">
      <c r="B354" s="70"/>
      <c r="F354" s="66"/>
    </row>
    <row r="355" spans="2:6" ht="21" customHeight="1">
      <c r="B355" s="70"/>
      <c r="F355" s="66"/>
    </row>
    <row r="356" spans="2:6" ht="21" customHeight="1">
      <c r="B356" s="70"/>
      <c r="F356" s="66"/>
    </row>
    <row r="357" spans="2:6" ht="21" customHeight="1">
      <c r="B357" s="70"/>
      <c r="F357" s="66"/>
    </row>
    <row r="358" spans="2:6" ht="21" customHeight="1">
      <c r="B358" s="70"/>
      <c r="F358" s="66"/>
    </row>
    <row r="359" spans="2:6" ht="21" customHeight="1">
      <c r="B359" s="70"/>
      <c r="F359" s="66"/>
    </row>
    <row r="360" spans="2:6" ht="21" customHeight="1">
      <c r="B360" s="70"/>
      <c r="F360" s="66"/>
    </row>
    <row r="361" spans="2:6" ht="21" customHeight="1">
      <c r="B361" s="70"/>
      <c r="F361" s="66"/>
    </row>
    <row r="362" spans="2:6" ht="21" customHeight="1">
      <c r="B362" s="70"/>
      <c r="F362" s="66"/>
    </row>
    <row r="363" spans="2:6" ht="21" customHeight="1">
      <c r="B363" s="70"/>
      <c r="F363" s="66"/>
    </row>
    <row r="364" spans="2:6" ht="21" customHeight="1">
      <c r="B364" s="70"/>
      <c r="F364" s="66"/>
    </row>
    <row r="365" spans="2:6" ht="21" customHeight="1">
      <c r="B365" s="70"/>
      <c r="F365" s="66"/>
    </row>
    <row r="366" spans="2:6" ht="21" customHeight="1">
      <c r="B366" s="70"/>
      <c r="F366" s="66"/>
    </row>
    <row r="367" spans="2:6" ht="21" customHeight="1">
      <c r="B367" s="70"/>
      <c r="F367" s="66"/>
    </row>
    <row r="368" spans="2:6" ht="21" customHeight="1">
      <c r="B368" s="70"/>
      <c r="F368" s="66"/>
    </row>
    <row r="369" spans="2:6" ht="21" customHeight="1">
      <c r="B369" s="70"/>
      <c r="F369" s="66"/>
    </row>
    <row r="370" spans="2:6" ht="21" customHeight="1">
      <c r="B370" s="70"/>
      <c r="F370" s="66"/>
    </row>
    <row r="371" spans="2:6" ht="21" customHeight="1">
      <c r="B371" s="70"/>
      <c r="F371" s="66"/>
    </row>
    <row r="372" spans="2:6" ht="21" customHeight="1">
      <c r="B372" s="70"/>
      <c r="F372" s="66"/>
    </row>
    <row r="373" spans="2:6" ht="21" customHeight="1">
      <c r="B373" s="70"/>
      <c r="F373" s="66"/>
    </row>
    <row r="374" spans="2:6" ht="21" customHeight="1">
      <c r="B374" s="70"/>
      <c r="F374" s="66"/>
    </row>
    <row r="375" spans="2:6" ht="21" customHeight="1">
      <c r="B375" s="70"/>
      <c r="F375" s="66"/>
    </row>
    <row r="376" spans="2:6" ht="21" customHeight="1">
      <c r="B376" s="70"/>
      <c r="F376" s="66"/>
    </row>
    <row r="377" spans="2:6" ht="21" customHeight="1">
      <c r="B377" s="70"/>
      <c r="F377" s="66"/>
    </row>
    <row r="378" spans="2:6" ht="21" customHeight="1">
      <c r="B378" s="70"/>
      <c r="F378" s="66"/>
    </row>
    <row r="379" spans="2:6" ht="21" customHeight="1">
      <c r="B379" s="70"/>
      <c r="F379" s="66"/>
    </row>
    <row r="380" spans="2:6" ht="21" customHeight="1">
      <c r="B380" s="70"/>
      <c r="F380" s="66"/>
    </row>
    <row r="381" spans="2:6" ht="21" customHeight="1">
      <c r="B381" s="70"/>
      <c r="F381" s="66"/>
    </row>
    <row r="382" spans="2:6" ht="21" customHeight="1">
      <c r="B382" s="70"/>
      <c r="F382" s="66"/>
    </row>
    <row r="383" spans="2:6" ht="21" customHeight="1">
      <c r="B383" s="70"/>
      <c r="F383" s="66"/>
    </row>
    <row r="384" spans="2:6" ht="21" customHeight="1">
      <c r="B384" s="70"/>
      <c r="F384" s="66"/>
    </row>
    <row r="385" spans="2:6" ht="21" customHeight="1">
      <c r="B385" s="70"/>
      <c r="F385" s="66"/>
    </row>
    <row r="386" spans="2:6" ht="21" customHeight="1">
      <c r="B386" s="70"/>
      <c r="F386" s="66"/>
    </row>
    <row r="387" spans="2:6" ht="21" customHeight="1">
      <c r="B387" s="70"/>
      <c r="F387" s="66"/>
    </row>
    <row r="388" spans="2:6" ht="21" customHeight="1">
      <c r="B388" s="70"/>
      <c r="F388" s="66"/>
    </row>
    <row r="389" spans="2:6" ht="21" customHeight="1">
      <c r="B389" s="70"/>
      <c r="F389" s="66"/>
    </row>
    <row r="390" spans="2:6" ht="21" customHeight="1">
      <c r="B390" s="70"/>
      <c r="F390" s="66"/>
    </row>
    <row r="391" spans="2:6" ht="21" customHeight="1">
      <c r="B391" s="70"/>
      <c r="F391" s="66"/>
    </row>
    <row r="392" spans="2:6" ht="21" customHeight="1">
      <c r="B392" s="70"/>
      <c r="F392" s="66"/>
    </row>
    <row r="393" spans="2:6" ht="21" customHeight="1">
      <c r="B393" s="70"/>
      <c r="F393" s="66"/>
    </row>
    <row r="394" spans="2:6" ht="21" customHeight="1">
      <c r="B394" s="70"/>
      <c r="F394" s="66"/>
    </row>
    <row r="395" spans="2:6" ht="21" customHeight="1">
      <c r="B395" s="70"/>
      <c r="F395" s="66"/>
    </row>
    <row r="396" spans="2:6" ht="21" customHeight="1">
      <c r="B396" s="70"/>
      <c r="F396" s="66"/>
    </row>
    <row r="397" spans="2:6" ht="21" customHeight="1">
      <c r="B397" s="70"/>
      <c r="F397" s="66"/>
    </row>
    <row r="398" spans="2:6" ht="21" customHeight="1">
      <c r="B398" s="70"/>
      <c r="F398" s="66"/>
    </row>
    <row r="399" spans="2:6" ht="21" customHeight="1">
      <c r="B399" s="70"/>
      <c r="F399" s="66"/>
    </row>
    <row r="400" spans="2:6" ht="21" customHeight="1">
      <c r="B400" s="70"/>
      <c r="F400" s="66"/>
    </row>
    <row r="401" spans="2:6" ht="21" customHeight="1">
      <c r="B401" s="70"/>
      <c r="F401" s="66"/>
    </row>
    <row r="402" spans="2:6" ht="21" customHeight="1">
      <c r="B402" s="70"/>
      <c r="F402" s="66"/>
    </row>
    <row r="403" spans="2:6" ht="21" customHeight="1">
      <c r="B403" s="70"/>
      <c r="F403" s="66"/>
    </row>
    <row r="404" spans="2:6" ht="21" customHeight="1">
      <c r="B404" s="70"/>
      <c r="F404" s="66"/>
    </row>
    <row r="405" spans="2:6" ht="21" customHeight="1">
      <c r="B405" s="70"/>
      <c r="F405" s="66"/>
    </row>
    <row r="406" spans="2:6" ht="21" customHeight="1">
      <c r="B406" s="70"/>
      <c r="F406" s="66"/>
    </row>
    <row r="407" spans="2:6" ht="21" customHeight="1">
      <c r="B407" s="70"/>
      <c r="F407" s="66"/>
    </row>
    <row r="408" spans="2:6" ht="21" customHeight="1">
      <c r="B408" s="70"/>
      <c r="F408" s="66"/>
    </row>
    <row r="409" spans="2:6" ht="21" customHeight="1">
      <c r="B409" s="70"/>
      <c r="F409" s="66"/>
    </row>
    <row r="410" spans="2:6" ht="21" customHeight="1">
      <c r="B410" s="70"/>
      <c r="F410" s="66"/>
    </row>
    <row r="411" spans="2:6" ht="21" customHeight="1">
      <c r="B411" s="70"/>
      <c r="F411" s="66"/>
    </row>
    <row r="412" spans="2:6" ht="21" customHeight="1">
      <c r="B412" s="70"/>
      <c r="F412" s="66"/>
    </row>
    <row r="413" spans="2:6" ht="21" customHeight="1">
      <c r="B413" s="70"/>
      <c r="F413" s="66"/>
    </row>
    <row r="414" spans="2:6" ht="21" customHeight="1">
      <c r="B414" s="70"/>
      <c r="F414" s="66"/>
    </row>
    <row r="415" spans="2:6" ht="21" customHeight="1">
      <c r="B415" s="70"/>
      <c r="F415" s="66"/>
    </row>
    <row r="416" spans="2:6" ht="21" customHeight="1">
      <c r="B416" s="70"/>
      <c r="F416" s="66"/>
    </row>
    <row r="417" spans="2:6" ht="21" customHeight="1">
      <c r="B417" s="70"/>
      <c r="F417" s="66"/>
    </row>
    <row r="418" spans="2:6" ht="21" customHeight="1">
      <c r="B418" s="70"/>
      <c r="F418" s="66"/>
    </row>
    <row r="419" spans="2:6" ht="21" customHeight="1">
      <c r="B419" s="70"/>
      <c r="F419" s="66"/>
    </row>
    <row r="420" spans="2:6" ht="21" customHeight="1">
      <c r="B420" s="70"/>
      <c r="F420" s="66"/>
    </row>
    <row r="421" spans="2:6" ht="21" customHeight="1">
      <c r="B421" s="70"/>
      <c r="F421" s="66"/>
    </row>
    <row r="422" spans="2:6" ht="21" customHeight="1">
      <c r="B422" s="70"/>
      <c r="F422" s="66"/>
    </row>
    <row r="423" spans="2:6" ht="21" customHeight="1">
      <c r="B423" s="70"/>
      <c r="F423" s="66"/>
    </row>
    <row r="424" spans="2:6" ht="21" customHeight="1">
      <c r="B424" s="70"/>
      <c r="F424" s="66"/>
    </row>
    <row r="425" spans="2:6" ht="21" customHeight="1">
      <c r="B425" s="70"/>
      <c r="F425" s="66"/>
    </row>
    <row r="426" spans="2:6" ht="21" customHeight="1">
      <c r="B426" s="70"/>
      <c r="F426" s="66"/>
    </row>
    <row r="427" spans="2:6" ht="21" customHeight="1">
      <c r="B427" s="70"/>
      <c r="F427" s="66"/>
    </row>
    <row r="428" spans="2:6" ht="21" customHeight="1">
      <c r="B428" s="70"/>
      <c r="F428" s="66"/>
    </row>
    <row r="429" spans="2:6" ht="21" customHeight="1">
      <c r="B429" s="70"/>
      <c r="F429" s="66"/>
    </row>
    <row r="430" spans="2:6" ht="21" customHeight="1">
      <c r="B430" s="70"/>
      <c r="F430" s="66"/>
    </row>
    <row r="431" spans="2:6" ht="21" customHeight="1">
      <c r="B431" s="70"/>
      <c r="F431" s="66"/>
    </row>
    <row r="432" spans="2:6" ht="21" customHeight="1">
      <c r="B432" s="70"/>
      <c r="F432" s="66"/>
    </row>
    <row r="433" spans="2:6" ht="21" customHeight="1">
      <c r="B433" s="70"/>
      <c r="F433" s="66"/>
    </row>
    <row r="434" spans="2:6" ht="21" customHeight="1">
      <c r="B434" s="70"/>
      <c r="F434" s="66"/>
    </row>
    <row r="435" spans="2:6" ht="21" customHeight="1">
      <c r="B435" s="70"/>
      <c r="F435" s="66"/>
    </row>
    <row r="436" spans="2:6" ht="21" customHeight="1">
      <c r="B436" s="70"/>
      <c r="F436" s="66"/>
    </row>
    <row r="437" spans="2:6" ht="21" customHeight="1">
      <c r="B437" s="70"/>
      <c r="F437" s="66"/>
    </row>
    <row r="438" spans="2:6" ht="21" customHeight="1">
      <c r="B438" s="70"/>
      <c r="F438" s="66"/>
    </row>
    <row r="439" spans="2:6" ht="21" customHeight="1">
      <c r="B439" s="70"/>
      <c r="F439" s="66"/>
    </row>
    <row r="440" spans="2:6" ht="21" customHeight="1">
      <c r="B440" s="70"/>
      <c r="F440" s="66"/>
    </row>
    <row r="441" spans="2:6" ht="21" customHeight="1">
      <c r="B441" s="70"/>
      <c r="F441" s="66"/>
    </row>
    <row r="442" spans="2:6" ht="21" customHeight="1">
      <c r="B442" s="70"/>
      <c r="F442" s="66"/>
    </row>
    <row r="443" spans="2:6" ht="21" customHeight="1">
      <c r="B443" s="70"/>
      <c r="F443" s="66"/>
    </row>
    <row r="444" spans="2:6" ht="21" customHeight="1">
      <c r="B444" s="70"/>
      <c r="F444" s="66"/>
    </row>
    <row r="445" spans="2:6" ht="21" customHeight="1">
      <c r="B445" s="70"/>
      <c r="F445" s="66"/>
    </row>
    <row r="446" spans="2:6" ht="21" customHeight="1">
      <c r="B446" s="70"/>
      <c r="F446" s="66"/>
    </row>
    <row r="447" spans="2:6" ht="21" customHeight="1">
      <c r="B447" s="70"/>
      <c r="F447" s="66"/>
    </row>
    <row r="448" spans="2:6" ht="21" customHeight="1">
      <c r="B448" s="70"/>
      <c r="F448" s="66"/>
    </row>
    <row r="449" spans="2:6" ht="21" customHeight="1">
      <c r="B449" s="70"/>
      <c r="F449" s="66"/>
    </row>
    <row r="450" spans="2:6" ht="21" customHeight="1">
      <c r="B450" s="70"/>
      <c r="F450" s="66"/>
    </row>
    <row r="451" spans="2:6" ht="21" customHeight="1">
      <c r="B451" s="70"/>
      <c r="F451" s="66"/>
    </row>
    <row r="452" spans="2:6" ht="21" customHeight="1">
      <c r="B452" s="70"/>
      <c r="F452" s="66"/>
    </row>
    <row r="453" spans="2:6" ht="21" customHeight="1">
      <c r="B453" s="70"/>
      <c r="F453" s="66"/>
    </row>
    <row r="454" spans="2:6" ht="21" customHeight="1">
      <c r="B454" s="70"/>
      <c r="F454" s="66"/>
    </row>
    <row r="455" spans="2:6" ht="21" customHeight="1">
      <c r="B455" s="70"/>
      <c r="F455" s="66"/>
    </row>
    <row r="456" spans="2:6" ht="21" customHeight="1">
      <c r="B456" s="70"/>
      <c r="F456" s="66"/>
    </row>
    <row r="457" spans="2:6" ht="21" customHeight="1">
      <c r="B457" s="70"/>
      <c r="F457" s="66"/>
    </row>
    <row r="458" spans="2:6" ht="21" customHeight="1">
      <c r="B458" s="70"/>
      <c r="F458" s="66"/>
    </row>
    <row r="459" spans="2:6" ht="21" customHeight="1">
      <c r="B459" s="70"/>
      <c r="F459" s="66"/>
    </row>
    <row r="460" spans="2:6" ht="21" customHeight="1">
      <c r="B460" s="70"/>
      <c r="F460" s="66"/>
    </row>
    <row r="461" spans="2:6" ht="21" customHeight="1">
      <c r="B461" s="70"/>
      <c r="F461" s="66"/>
    </row>
    <row r="462" spans="2:6" ht="21" customHeight="1">
      <c r="B462" s="70"/>
      <c r="F462" s="66"/>
    </row>
    <row r="463" spans="2:6" ht="21" customHeight="1">
      <c r="B463" s="70"/>
      <c r="F463" s="66"/>
    </row>
    <row r="464" spans="2:6" ht="21" customHeight="1">
      <c r="B464" s="70"/>
      <c r="F464" s="66"/>
    </row>
    <row r="465" spans="2:6" ht="21" customHeight="1">
      <c r="B465" s="70"/>
      <c r="F465" s="66"/>
    </row>
    <row r="466" spans="2:6" ht="21" customHeight="1">
      <c r="B466" s="70"/>
      <c r="F466" s="66"/>
    </row>
    <row r="467" spans="2:6" ht="21" customHeight="1">
      <c r="B467" s="70"/>
      <c r="F467" s="66"/>
    </row>
    <row r="468" spans="2:6" ht="21" customHeight="1">
      <c r="B468" s="70"/>
      <c r="F468" s="66"/>
    </row>
    <row r="469" spans="2:6" ht="21" customHeight="1">
      <c r="B469" s="70"/>
      <c r="F469" s="66"/>
    </row>
    <row r="470" spans="2:6" ht="21" customHeight="1">
      <c r="B470" s="70"/>
      <c r="F470" s="66"/>
    </row>
    <row r="471" spans="2:6" ht="21" customHeight="1">
      <c r="B471" s="70"/>
      <c r="F471" s="66"/>
    </row>
    <row r="472" spans="2:6" ht="21" customHeight="1">
      <c r="B472" s="70"/>
      <c r="F472" s="66"/>
    </row>
    <row r="473" spans="2:6" ht="21" customHeight="1">
      <c r="B473" s="70"/>
      <c r="F473" s="66"/>
    </row>
    <row r="474" spans="2:6" ht="21" customHeight="1">
      <c r="B474" s="70"/>
      <c r="F474" s="66"/>
    </row>
    <row r="475" spans="2:6" ht="21" customHeight="1">
      <c r="B475" s="70"/>
      <c r="F475" s="66"/>
    </row>
    <row r="476" spans="2:6" ht="21" customHeight="1">
      <c r="B476" s="70"/>
      <c r="F476" s="66"/>
    </row>
    <row r="477" spans="2:6" ht="21" customHeight="1">
      <c r="B477" s="70"/>
      <c r="F477" s="66"/>
    </row>
    <row r="478" spans="2:6" ht="21" customHeight="1">
      <c r="B478" s="70"/>
      <c r="F478" s="66"/>
    </row>
    <row r="479" spans="2:6" ht="21" customHeight="1">
      <c r="B479" s="70"/>
      <c r="F479" s="66"/>
    </row>
    <row r="480" spans="2:6" ht="21" customHeight="1">
      <c r="B480" s="70"/>
      <c r="F480" s="66"/>
    </row>
    <row r="481" spans="2:6" ht="21" customHeight="1">
      <c r="B481" s="70"/>
      <c r="F481" s="66"/>
    </row>
    <row r="482" spans="2:6" ht="21" customHeight="1">
      <c r="B482" s="70"/>
      <c r="F482" s="66"/>
    </row>
    <row r="483" spans="2:6" ht="21" customHeight="1">
      <c r="B483" s="70"/>
      <c r="F483" s="66"/>
    </row>
    <row r="484" spans="2:6" ht="21" customHeight="1">
      <c r="B484" s="70"/>
      <c r="F484" s="66"/>
    </row>
    <row r="485" spans="2:6" ht="21" customHeight="1">
      <c r="B485" s="70"/>
      <c r="F485" s="66"/>
    </row>
    <row r="486" spans="2:6" ht="21" customHeight="1">
      <c r="B486" s="70"/>
      <c r="F486" s="66"/>
    </row>
    <row r="487" spans="2:6" ht="21" customHeight="1">
      <c r="B487" s="70"/>
      <c r="F487" s="66"/>
    </row>
    <row r="488" spans="2:6" ht="21" customHeight="1">
      <c r="B488" s="70"/>
      <c r="F488" s="66"/>
    </row>
    <row r="489" spans="2:6" ht="21" customHeight="1">
      <c r="B489" s="70"/>
      <c r="F489" s="66"/>
    </row>
    <row r="490" spans="2:6" ht="21" customHeight="1">
      <c r="B490" s="70"/>
      <c r="F490" s="66"/>
    </row>
    <row r="491" spans="2:6" ht="21" customHeight="1">
      <c r="B491" s="70"/>
      <c r="F491" s="66"/>
    </row>
    <row r="492" spans="2:6" ht="21" customHeight="1">
      <c r="B492" s="70"/>
      <c r="F492" s="66"/>
    </row>
    <row r="493" spans="2:6" ht="21" customHeight="1">
      <c r="B493" s="70"/>
      <c r="F493" s="66"/>
    </row>
    <row r="494" spans="2:6" ht="21" customHeight="1">
      <c r="B494" s="70"/>
      <c r="F494" s="66"/>
    </row>
    <row r="495" spans="2:6" ht="21" customHeight="1">
      <c r="B495" s="70"/>
      <c r="F495" s="66"/>
    </row>
    <row r="496" spans="2:6" ht="21" customHeight="1">
      <c r="B496" s="70"/>
      <c r="F496" s="66"/>
    </row>
    <row r="497" spans="2:6" ht="21" customHeight="1">
      <c r="B497" s="70"/>
      <c r="F497" s="66"/>
    </row>
    <row r="498" spans="2:6" ht="21" customHeight="1">
      <c r="B498" s="70"/>
      <c r="F498" s="66"/>
    </row>
    <row r="499" spans="2:6" ht="21" customHeight="1">
      <c r="B499" s="70"/>
      <c r="F499" s="66"/>
    </row>
    <row r="500" spans="2:6" ht="21" customHeight="1">
      <c r="B500" s="70"/>
      <c r="F500" s="66"/>
    </row>
    <row r="501" spans="2:6" ht="21" customHeight="1">
      <c r="B501" s="70"/>
      <c r="F501" s="66"/>
    </row>
    <row r="502" spans="2:6" ht="21" customHeight="1">
      <c r="B502" s="70"/>
      <c r="F502" s="66"/>
    </row>
    <row r="503" spans="2:6" ht="21" customHeight="1">
      <c r="B503" s="70"/>
      <c r="F503" s="66"/>
    </row>
    <row r="504" spans="2:6" ht="21" customHeight="1">
      <c r="B504" s="70"/>
      <c r="F504" s="66"/>
    </row>
    <row r="505" spans="2:6" ht="21" customHeight="1">
      <c r="B505" s="70"/>
      <c r="F505" s="66"/>
    </row>
    <row r="506" spans="2:6" ht="21" customHeight="1">
      <c r="B506" s="70"/>
      <c r="F506" s="66"/>
    </row>
    <row r="507" spans="2:6" ht="21" customHeight="1">
      <c r="B507" s="70"/>
      <c r="F507" s="66"/>
    </row>
    <row r="508" spans="2:6" ht="21" customHeight="1">
      <c r="B508" s="70"/>
      <c r="F508" s="66"/>
    </row>
    <row r="509" spans="2:6" ht="21" customHeight="1">
      <c r="B509" s="70"/>
      <c r="F509" s="66"/>
    </row>
    <row r="510" spans="2:6" ht="21" customHeight="1">
      <c r="B510" s="70"/>
      <c r="F510" s="66"/>
    </row>
    <row r="511" spans="2:6" ht="21" customHeight="1">
      <c r="B511" s="70"/>
      <c r="F511" s="66"/>
    </row>
    <row r="512" spans="2:6" ht="21" customHeight="1">
      <c r="B512" s="70"/>
      <c r="F512" s="66"/>
    </row>
    <row r="513" spans="2:6" ht="21" customHeight="1">
      <c r="B513" s="70"/>
      <c r="F513" s="66"/>
    </row>
    <row r="514" spans="2:6" ht="21" customHeight="1">
      <c r="B514" s="70"/>
      <c r="F514" s="66"/>
    </row>
    <row r="515" spans="2:6" ht="21" customHeight="1">
      <c r="B515" s="70"/>
      <c r="F515" s="66"/>
    </row>
    <row r="516" spans="2:6" ht="21" customHeight="1">
      <c r="B516" s="70"/>
      <c r="F516" s="66"/>
    </row>
    <row r="517" spans="2:6" ht="21" customHeight="1">
      <c r="B517" s="70"/>
      <c r="F517" s="66"/>
    </row>
    <row r="518" spans="2:6" ht="21" customHeight="1">
      <c r="B518" s="70"/>
      <c r="F518" s="66"/>
    </row>
    <row r="519" spans="2:6" ht="21" customHeight="1">
      <c r="B519" s="70"/>
      <c r="F519" s="66"/>
    </row>
    <row r="520" spans="2:6" ht="21" customHeight="1">
      <c r="B520" s="70"/>
      <c r="F520" s="66"/>
    </row>
    <row r="521" spans="2:6" ht="21" customHeight="1">
      <c r="B521" s="70"/>
      <c r="F521" s="66"/>
    </row>
    <row r="522" spans="2:6" ht="21" customHeight="1">
      <c r="B522" s="70"/>
      <c r="F522" s="66"/>
    </row>
    <row r="523" spans="2:6" ht="21" customHeight="1">
      <c r="B523" s="70"/>
      <c r="F523" s="66"/>
    </row>
    <row r="524" spans="2:6" ht="21" customHeight="1">
      <c r="B524" s="70"/>
      <c r="F524" s="66"/>
    </row>
    <row r="525" spans="2:6" ht="21" customHeight="1">
      <c r="B525" s="70"/>
      <c r="F525" s="66"/>
    </row>
    <row r="526" spans="2:6" ht="21" customHeight="1">
      <c r="B526" s="70"/>
      <c r="F526" s="66"/>
    </row>
    <row r="527" spans="2:6" ht="21" customHeight="1">
      <c r="B527" s="70"/>
      <c r="F527" s="66"/>
    </row>
    <row r="528" spans="2:6" ht="21" customHeight="1">
      <c r="B528" s="70"/>
      <c r="F528" s="66"/>
    </row>
    <row r="529" spans="2:6" ht="21" customHeight="1">
      <c r="B529" s="70"/>
      <c r="F529" s="66"/>
    </row>
    <row r="530" spans="2:6" ht="21" customHeight="1">
      <c r="B530" s="70"/>
      <c r="F530" s="66"/>
    </row>
    <row r="531" spans="2:6" ht="21" customHeight="1">
      <c r="B531" s="70"/>
      <c r="F531" s="66"/>
    </row>
    <row r="532" spans="2:6" ht="21" customHeight="1">
      <c r="B532" s="70"/>
      <c r="F532" s="66"/>
    </row>
    <row r="533" spans="2:6" ht="21" customHeight="1">
      <c r="B533" s="70"/>
      <c r="F533" s="66"/>
    </row>
    <row r="534" spans="2:6" ht="21" customHeight="1">
      <c r="B534" s="70"/>
      <c r="F534" s="66"/>
    </row>
    <row r="535" spans="2:6" ht="21" customHeight="1">
      <c r="B535" s="70"/>
      <c r="F535" s="66"/>
    </row>
    <row r="536" spans="2:6" ht="21" customHeight="1">
      <c r="B536" s="70"/>
      <c r="F536" s="66"/>
    </row>
    <row r="537" spans="2:6" ht="21" customHeight="1">
      <c r="B537" s="70"/>
      <c r="F537" s="66"/>
    </row>
    <row r="538" spans="2:6" ht="21" customHeight="1">
      <c r="B538" s="70"/>
      <c r="F538" s="66"/>
    </row>
    <row r="539" spans="2:6" ht="21" customHeight="1">
      <c r="B539" s="70"/>
      <c r="F539" s="66"/>
    </row>
    <row r="540" spans="2:6" ht="21" customHeight="1">
      <c r="B540" s="70"/>
      <c r="F540" s="66"/>
    </row>
    <row r="541" spans="2:6" ht="21" customHeight="1">
      <c r="B541" s="70"/>
      <c r="F541" s="66"/>
    </row>
    <row r="542" spans="2:6" ht="21" customHeight="1">
      <c r="B542" s="70"/>
      <c r="F542" s="66"/>
    </row>
    <row r="543" spans="2:6" ht="21" customHeight="1">
      <c r="B543" s="70"/>
      <c r="F543" s="66"/>
    </row>
    <row r="544" spans="2:6" ht="21" customHeight="1">
      <c r="B544" s="70"/>
      <c r="F544" s="66"/>
    </row>
    <row r="545" spans="2:6" ht="21" customHeight="1">
      <c r="B545" s="70"/>
      <c r="F545" s="66"/>
    </row>
    <row r="546" spans="2:6" ht="21" customHeight="1">
      <c r="B546" s="70"/>
      <c r="F546" s="66"/>
    </row>
    <row r="547" spans="2:6" ht="21" customHeight="1">
      <c r="B547" s="70"/>
      <c r="F547" s="66"/>
    </row>
    <row r="548" spans="2:6" ht="21" customHeight="1">
      <c r="B548" s="70"/>
      <c r="F548" s="66"/>
    </row>
    <row r="549" spans="2:6" ht="21" customHeight="1">
      <c r="B549" s="70"/>
      <c r="F549" s="66"/>
    </row>
    <row r="550" spans="2:6" ht="21" customHeight="1">
      <c r="B550" s="70"/>
      <c r="F550" s="66"/>
    </row>
    <row r="551" spans="2:6" ht="21" customHeight="1">
      <c r="B551" s="70"/>
      <c r="F551" s="66"/>
    </row>
    <row r="552" spans="2:6" ht="21" customHeight="1">
      <c r="B552" s="70"/>
      <c r="F552" s="66"/>
    </row>
    <row r="553" spans="2:6" ht="21" customHeight="1">
      <c r="B553" s="70"/>
      <c r="F553" s="66"/>
    </row>
    <row r="554" spans="2:6" ht="21" customHeight="1">
      <c r="B554" s="70"/>
      <c r="F554" s="66"/>
    </row>
    <row r="555" spans="2:6" ht="21" customHeight="1">
      <c r="B555" s="70"/>
      <c r="F555" s="66"/>
    </row>
    <row r="556" spans="2:6" ht="21" customHeight="1">
      <c r="B556" s="70"/>
      <c r="F556" s="66"/>
    </row>
    <row r="557" spans="2:6" ht="21" customHeight="1">
      <c r="B557" s="70"/>
      <c r="F557" s="66"/>
    </row>
    <row r="558" spans="2:6" ht="21" customHeight="1">
      <c r="B558" s="70"/>
      <c r="F558" s="66"/>
    </row>
    <row r="559" spans="2:6" ht="21" customHeight="1">
      <c r="B559" s="70"/>
      <c r="F559" s="66"/>
    </row>
    <row r="560" spans="2:6" ht="21" customHeight="1">
      <c r="B560" s="70"/>
      <c r="F560" s="66"/>
    </row>
    <row r="561" spans="2:6" ht="21" customHeight="1">
      <c r="B561" s="70"/>
      <c r="F561" s="66"/>
    </row>
    <row r="562" spans="2:6" ht="21" customHeight="1">
      <c r="B562" s="70"/>
      <c r="F562" s="66"/>
    </row>
    <row r="563" spans="2:6" ht="21" customHeight="1">
      <c r="B563" s="70"/>
      <c r="F563" s="66"/>
    </row>
    <row r="564" spans="2:6" ht="21" customHeight="1">
      <c r="B564" s="70"/>
      <c r="F564" s="66"/>
    </row>
    <row r="565" spans="2:6" ht="21" customHeight="1">
      <c r="B565" s="70"/>
      <c r="F565" s="66"/>
    </row>
    <row r="566" spans="2:6" ht="21" customHeight="1">
      <c r="B566" s="70"/>
      <c r="F566" s="66"/>
    </row>
    <row r="567" spans="2:6" ht="21" customHeight="1">
      <c r="B567" s="70"/>
      <c r="F567" s="66"/>
    </row>
    <row r="568" spans="2:6" ht="21" customHeight="1">
      <c r="B568" s="70"/>
      <c r="F568" s="66"/>
    </row>
    <row r="569" spans="2:6" ht="21" customHeight="1">
      <c r="B569" s="70"/>
      <c r="F569" s="66"/>
    </row>
    <row r="570" spans="2:6" ht="21" customHeight="1">
      <c r="B570" s="70"/>
      <c r="F570" s="66"/>
    </row>
    <row r="571" spans="2:6" ht="21" customHeight="1">
      <c r="B571" s="70"/>
      <c r="F571" s="66"/>
    </row>
    <row r="572" spans="2:6" ht="21" customHeight="1">
      <c r="B572" s="70"/>
      <c r="F572" s="66"/>
    </row>
    <row r="573" spans="2:6" ht="21" customHeight="1">
      <c r="B573" s="70"/>
      <c r="F573" s="66"/>
    </row>
    <row r="574" spans="2:6" ht="21" customHeight="1">
      <c r="B574" s="70"/>
      <c r="F574" s="66"/>
    </row>
    <row r="575" spans="2:6" ht="21" customHeight="1">
      <c r="B575" s="70"/>
      <c r="F575" s="66"/>
    </row>
    <row r="576" spans="2:6" ht="21" customHeight="1">
      <c r="B576" s="70"/>
      <c r="F576" s="66"/>
    </row>
    <row r="577" spans="2:6" ht="21" customHeight="1">
      <c r="B577" s="70"/>
      <c r="F577" s="66"/>
    </row>
    <row r="578" spans="2:6" ht="21" customHeight="1">
      <c r="B578" s="70"/>
      <c r="F578" s="66"/>
    </row>
    <row r="579" spans="2:6" ht="21" customHeight="1">
      <c r="B579" s="70"/>
      <c r="F579" s="66"/>
    </row>
    <row r="580" spans="2:6" ht="21" customHeight="1">
      <c r="B580" s="70"/>
      <c r="F580" s="66"/>
    </row>
    <row r="581" spans="2:6" ht="21" customHeight="1">
      <c r="B581" s="70"/>
      <c r="F581" s="66"/>
    </row>
    <row r="582" spans="2:6" ht="21" customHeight="1">
      <c r="B582" s="70"/>
      <c r="F582" s="66"/>
    </row>
    <row r="583" spans="2:6" ht="21" customHeight="1">
      <c r="B583" s="70"/>
      <c r="F583" s="66"/>
    </row>
    <row r="584" spans="2:6" ht="21" customHeight="1">
      <c r="B584" s="70"/>
      <c r="F584" s="66"/>
    </row>
    <row r="585" spans="2:6" ht="21" customHeight="1">
      <c r="B585" s="70"/>
      <c r="F585" s="66"/>
    </row>
    <row r="586" spans="2:6" ht="21" customHeight="1">
      <c r="B586" s="70"/>
      <c r="F586" s="66"/>
    </row>
    <row r="587" spans="2:6" ht="21" customHeight="1">
      <c r="B587" s="70"/>
      <c r="F587" s="66"/>
    </row>
    <row r="588" spans="2:6" ht="21" customHeight="1">
      <c r="B588" s="70"/>
      <c r="F588" s="66"/>
    </row>
    <row r="589" spans="2:6" ht="21" customHeight="1">
      <c r="B589" s="70"/>
      <c r="F589" s="66"/>
    </row>
    <row r="590" spans="2:6" ht="21" customHeight="1">
      <c r="B590" s="70"/>
      <c r="F590" s="66"/>
    </row>
    <row r="591" spans="2:6" ht="21" customHeight="1">
      <c r="B591" s="70"/>
      <c r="F591" s="66"/>
    </row>
    <row r="592" spans="2:6" ht="21" customHeight="1">
      <c r="B592" s="70"/>
      <c r="F592" s="66"/>
    </row>
    <row r="593" spans="2:6" ht="21" customHeight="1">
      <c r="B593" s="70"/>
      <c r="F593" s="66"/>
    </row>
    <row r="594" spans="2:6" ht="21" customHeight="1">
      <c r="B594" s="70"/>
      <c r="F594" s="66"/>
    </row>
    <row r="595" spans="2:6" ht="21" customHeight="1">
      <c r="B595" s="70"/>
      <c r="F595" s="66"/>
    </row>
    <row r="596" spans="2:6" ht="21" customHeight="1">
      <c r="B596" s="70"/>
      <c r="F596" s="66"/>
    </row>
    <row r="597" spans="2:6" ht="21" customHeight="1">
      <c r="B597" s="70"/>
      <c r="F597" s="66"/>
    </row>
    <row r="598" spans="2:6" ht="21" customHeight="1">
      <c r="B598" s="70"/>
      <c r="F598" s="66"/>
    </row>
    <row r="599" spans="2:6" ht="21" customHeight="1">
      <c r="B599" s="70"/>
      <c r="F599" s="66"/>
    </row>
    <row r="600" spans="2:6" ht="21" customHeight="1">
      <c r="B600" s="70"/>
      <c r="F600" s="66"/>
    </row>
    <row r="601" spans="2:6" ht="21" customHeight="1">
      <c r="B601" s="70"/>
      <c r="F601" s="66"/>
    </row>
    <row r="602" spans="2:6" ht="21" customHeight="1">
      <c r="B602" s="70"/>
      <c r="F602" s="66"/>
    </row>
    <row r="603" spans="2:6" ht="21" customHeight="1">
      <c r="B603" s="70"/>
      <c r="F603" s="66"/>
    </row>
    <row r="604" spans="2:6" ht="21" customHeight="1">
      <c r="B604" s="70"/>
      <c r="F604" s="66"/>
    </row>
    <row r="605" spans="2:6" ht="21" customHeight="1">
      <c r="B605" s="70"/>
      <c r="F605" s="66"/>
    </row>
    <row r="606" spans="2:6" ht="21" customHeight="1">
      <c r="B606" s="70"/>
      <c r="F606" s="66"/>
    </row>
    <row r="607" spans="2:6" ht="21" customHeight="1">
      <c r="B607" s="70"/>
      <c r="F607" s="66"/>
    </row>
    <row r="608" spans="2:6" ht="21" customHeight="1">
      <c r="B608" s="70"/>
      <c r="F608" s="66"/>
    </row>
    <row r="609" spans="2:6" ht="21" customHeight="1">
      <c r="B609" s="70"/>
      <c r="F609" s="66"/>
    </row>
    <row r="610" spans="2:6" ht="21" customHeight="1">
      <c r="B610" s="70"/>
      <c r="F610" s="66"/>
    </row>
    <row r="611" spans="2:6" ht="21" customHeight="1">
      <c r="B611" s="70"/>
      <c r="F611" s="66"/>
    </row>
    <row r="612" spans="2:6" ht="21" customHeight="1">
      <c r="B612" s="70"/>
      <c r="F612" s="66"/>
    </row>
    <row r="613" spans="2:6" ht="21" customHeight="1">
      <c r="B613" s="70"/>
      <c r="F613" s="66"/>
    </row>
    <row r="614" spans="2:6" ht="21" customHeight="1">
      <c r="B614" s="70"/>
      <c r="F614" s="66"/>
    </row>
    <row r="615" spans="2:6" ht="21" customHeight="1">
      <c r="B615" s="70"/>
      <c r="F615" s="66"/>
    </row>
    <row r="616" spans="2:6" ht="21" customHeight="1">
      <c r="B616" s="70"/>
      <c r="F616" s="66"/>
    </row>
    <row r="617" spans="2:6" ht="21" customHeight="1">
      <c r="B617" s="70"/>
      <c r="F617" s="66"/>
    </row>
    <row r="618" spans="2:6" ht="21" customHeight="1">
      <c r="B618" s="70"/>
      <c r="F618" s="66"/>
    </row>
    <row r="619" spans="2:6" ht="21" customHeight="1">
      <c r="B619" s="70"/>
      <c r="F619" s="66"/>
    </row>
    <row r="620" spans="2:6" ht="21" customHeight="1">
      <c r="B620" s="70"/>
      <c r="F620" s="66"/>
    </row>
    <row r="621" spans="2:6" ht="21" customHeight="1">
      <c r="B621" s="70"/>
      <c r="F621" s="66"/>
    </row>
    <row r="622" spans="2:6" ht="21" customHeight="1">
      <c r="B622" s="70"/>
      <c r="F622" s="66"/>
    </row>
    <row r="623" spans="2:6" ht="21" customHeight="1">
      <c r="B623" s="70"/>
      <c r="F623" s="66"/>
    </row>
    <row r="624" spans="2:6" ht="21" customHeight="1">
      <c r="B624" s="70"/>
      <c r="F624" s="66"/>
    </row>
    <row r="625" spans="2:6" ht="21" customHeight="1">
      <c r="B625" s="70"/>
      <c r="F625" s="66"/>
    </row>
    <row r="626" spans="2:6" ht="21" customHeight="1">
      <c r="B626" s="70"/>
      <c r="F626" s="66"/>
    </row>
    <row r="627" spans="2:6" ht="21" customHeight="1">
      <c r="B627" s="70"/>
      <c r="F627" s="66"/>
    </row>
    <row r="628" spans="2:6" ht="21" customHeight="1">
      <c r="B628" s="70"/>
      <c r="F628" s="66"/>
    </row>
    <row r="629" spans="2:6" ht="21" customHeight="1">
      <c r="B629" s="70"/>
      <c r="F629" s="66"/>
    </row>
    <row r="630" spans="2:6" ht="21" customHeight="1">
      <c r="B630" s="70"/>
      <c r="F630" s="66"/>
    </row>
    <row r="631" spans="2:6" ht="21" customHeight="1">
      <c r="B631" s="70"/>
      <c r="F631" s="66"/>
    </row>
    <row r="632" spans="2:6" ht="21" customHeight="1">
      <c r="B632" s="70"/>
      <c r="F632" s="66"/>
    </row>
    <row r="633" spans="2:6" ht="21" customHeight="1">
      <c r="B633" s="70"/>
      <c r="F633" s="66"/>
    </row>
    <row r="634" spans="2:6" ht="21" customHeight="1">
      <c r="B634" s="70"/>
      <c r="F634" s="66"/>
    </row>
    <row r="635" spans="2:6" ht="21" customHeight="1">
      <c r="B635" s="70"/>
      <c r="F635" s="66"/>
    </row>
    <row r="636" spans="2:6" ht="21" customHeight="1">
      <c r="B636" s="70"/>
      <c r="F636" s="66"/>
    </row>
    <row r="637" spans="2:6" ht="21" customHeight="1">
      <c r="B637" s="70"/>
      <c r="F637" s="66"/>
    </row>
    <row r="638" spans="2:6" ht="21" customHeight="1">
      <c r="B638" s="70"/>
      <c r="F638" s="66"/>
    </row>
    <row r="639" spans="2:6" ht="21" customHeight="1">
      <c r="B639" s="70"/>
      <c r="F639" s="66"/>
    </row>
    <row r="640" spans="2:6" ht="21" customHeight="1">
      <c r="B640" s="70"/>
      <c r="F640" s="66"/>
    </row>
    <row r="641" spans="2:6" ht="21" customHeight="1">
      <c r="B641" s="70"/>
      <c r="F641" s="66"/>
    </row>
    <row r="642" spans="2:6" ht="21" customHeight="1">
      <c r="B642" s="70"/>
      <c r="F642" s="66"/>
    </row>
    <row r="643" spans="2:6" ht="21" customHeight="1">
      <c r="B643" s="70"/>
      <c r="F643" s="66"/>
    </row>
    <row r="644" spans="2:6" ht="21" customHeight="1">
      <c r="B644" s="70"/>
      <c r="F644" s="66"/>
    </row>
    <row r="645" spans="2:6" ht="21" customHeight="1">
      <c r="B645" s="70"/>
      <c r="F645" s="66"/>
    </row>
    <row r="646" spans="2:6" ht="21" customHeight="1">
      <c r="B646" s="70"/>
      <c r="F646" s="66"/>
    </row>
    <row r="647" spans="2:6" ht="21" customHeight="1">
      <c r="B647" s="70"/>
      <c r="F647" s="66"/>
    </row>
    <row r="648" spans="2:6" ht="21" customHeight="1">
      <c r="B648" s="70"/>
      <c r="F648" s="66"/>
    </row>
    <row r="649" spans="2:6" ht="21" customHeight="1">
      <c r="B649" s="70"/>
      <c r="F649" s="66"/>
    </row>
    <row r="650" spans="2:6" ht="21" customHeight="1">
      <c r="B650" s="70"/>
      <c r="F650" s="66"/>
    </row>
    <row r="651" spans="2:6" ht="21" customHeight="1">
      <c r="B651" s="70"/>
      <c r="F651" s="66"/>
    </row>
    <row r="652" spans="2:6" ht="21" customHeight="1">
      <c r="B652" s="70"/>
      <c r="F652" s="66"/>
    </row>
    <row r="653" spans="2:6" ht="21" customHeight="1">
      <c r="B653" s="70"/>
      <c r="F653" s="66"/>
    </row>
    <row r="654" spans="2:6" ht="21" customHeight="1">
      <c r="B654" s="70"/>
      <c r="F654" s="66"/>
    </row>
    <row r="655" spans="2:6" ht="21" customHeight="1">
      <c r="B655" s="70"/>
      <c r="F655" s="66"/>
    </row>
    <row r="656" spans="2:6" ht="21" customHeight="1">
      <c r="B656" s="70"/>
      <c r="F656" s="66"/>
    </row>
    <row r="657" spans="2:6" ht="21" customHeight="1">
      <c r="B657" s="70"/>
      <c r="F657" s="66"/>
    </row>
    <row r="658" spans="2:6" ht="21" customHeight="1">
      <c r="B658" s="70"/>
      <c r="F658" s="66"/>
    </row>
    <row r="659" spans="2:6" ht="21" customHeight="1">
      <c r="B659" s="70"/>
      <c r="F659" s="66"/>
    </row>
    <row r="660" spans="2:6" ht="21" customHeight="1">
      <c r="B660" s="70"/>
      <c r="F660" s="66"/>
    </row>
    <row r="661" spans="2:6" ht="21" customHeight="1">
      <c r="B661" s="70"/>
      <c r="F661" s="66"/>
    </row>
    <row r="662" spans="2:6" ht="21" customHeight="1">
      <c r="B662" s="70"/>
      <c r="F662" s="66"/>
    </row>
    <row r="663" spans="2:6" ht="21" customHeight="1">
      <c r="B663" s="70"/>
      <c r="F663" s="66"/>
    </row>
    <row r="664" spans="2:6" ht="21" customHeight="1">
      <c r="B664" s="70"/>
      <c r="F664" s="66"/>
    </row>
    <row r="665" spans="2:6" ht="21" customHeight="1">
      <c r="B665" s="70"/>
      <c r="F665" s="66"/>
    </row>
    <row r="666" spans="2:6" ht="21" customHeight="1">
      <c r="B666" s="70"/>
      <c r="F666" s="66"/>
    </row>
    <row r="667" spans="2:6" ht="21" customHeight="1">
      <c r="B667" s="70"/>
      <c r="F667" s="66"/>
    </row>
    <row r="668" spans="2:6" ht="21" customHeight="1">
      <c r="B668" s="70"/>
      <c r="F668" s="66"/>
    </row>
    <row r="669" spans="2:6" ht="21" customHeight="1">
      <c r="B669" s="70"/>
      <c r="F669" s="66"/>
    </row>
    <row r="670" spans="2:6" ht="21" customHeight="1">
      <c r="B670" s="70"/>
      <c r="F670" s="66"/>
    </row>
    <row r="671" spans="2:6" ht="21" customHeight="1">
      <c r="B671" s="70"/>
      <c r="F671" s="66"/>
    </row>
    <row r="672" spans="2:6" ht="21" customHeight="1">
      <c r="B672" s="70"/>
      <c r="F672" s="66"/>
    </row>
    <row r="673" spans="2:6" ht="21" customHeight="1">
      <c r="B673" s="70"/>
      <c r="F673" s="66"/>
    </row>
    <row r="674" spans="2:6" ht="21" customHeight="1">
      <c r="B674" s="70"/>
      <c r="F674" s="66"/>
    </row>
    <row r="675" spans="2:6" ht="21" customHeight="1">
      <c r="B675" s="70"/>
      <c r="F675" s="66"/>
    </row>
    <row r="676" spans="2:6" ht="21" customHeight="1">
      <c r="B676" s="70"/>
      <c r="F676" s="66"/>
    </row>
    <row r="677" spans="2:6" ht="21" customHeight="1">
      <c r="B677" s="70"/>
      <c r="F677" s="66"/>
    </row>
    <row r="678" spans="2:6" ht="21" customHeight="1">
      <c r="B678" s="70"/>
      <c r="F678" s="66"/>
    </row>
    <row r="679" spans="2:6" ht="21" customHeight="1">
      <c r="B679" s="70"/>
      <c r="F679" s="66"/>
    </row>
    <row r="680" spans="2:6" ht="21" customHeight="1">
      <c r="B680" s="70"/>
      <c r="F680" s="66"/>
    </row>
    <row r="681" spans="2:6" ht="21" customHeight="1">
      <c r="B681" s="70"/>
      <c r="F681" s="66"/>
    </row>
    <row r="682" spans="2:6" ht="21" customHeight="1">
      <c r="B682" s="70"/>
      <c r="F682" s="66"/>
    </row>
    <row r="683" spans="2:6" ht="21" customHeight="1">
      <c r="B683" s="70"/>
      <c r="F683" s="66"/>
    </row>
    <row r="684" spans="2:6" ht="21" customHeight="1">
      <c r="B684" s="70"/>
      <c r="F684" s="66"/>
    </row>
    <row r="685" spans="2:6" ht="21" customHeight="1">
      <c r="B685" s="70"/>
      <c r="F685" s="66"/>
    </row>
    <row r="686" spans="2:6" ht="21" customHeight="1">
      <c r="B686" s="70"/>
      <c r="F686" s="66"/>
    </row>
    <row r="687" spans="2:6" ht="21" customHeight="1">
      <c r="B687" s="70"/>
      <c r="F687" s="66"/>
    </row>
    <row r="688" spans="2:6" ht="21" customHeight="1">
      <c r="B688" s="70"/>
      <c r="F688" s="66"/>
    </row>
    <row r="689" spans="2:6" ht="21" customHeight="1">
      <c r="B689" s="70"/>
      <c r="F689" s="66"/>
    </row>
    <row r="690" spans="2:6" ht="21" customHeight="1">
      <c r="B690" s="70"/>
      <c r="F690" s="66"/>
    </row>
    <row r="691" spans="2:6" ht="21" customHeight="1">
      <c r="B691" s="70"/>
      <c r="F691" s="66"/>
    </row>
    <row r="692" spans="2:6" ht="21" customHeight="1">
      <c r="B692" s="70"/>
      <c r="F692" s="66"/>
    </row>
    <row r="693" spans="2:6" ht="21" customHeight="1">
      <c r="B693" s="70"/>
      <c r="F693" s="66"/>
    </row>
    <row r="694" spans="2:6" ht="21" customHeight="1">
      <c r="B694" s="70"/>
      <c r="F694" s="66"/>
    </row>
    <row r="695" spans="2:6" ht="21" customHeight="1">
      <c r="B695" s="70"/>
      <c r="F695" s="66"/>
    </row>
    <row r="696" spans="2:6" ht="21" customHeight="1">
      <c r="B696" s="70"/>
      <c r="F696" s="66"/>
    </row>
    <row r="697" spans="2:6" ht="21" customHeight="1">
      <c r="B697" s="70"/>
      <c r="F697" s="66"/>
    </row>
    <row r="698" spans="2:6" ht="21" customHeight="1">
      <c r="B698" s="70"/>
      <c r="F698" s="66"/>
    </row>
    <row r="699" spans="2:6" ht="21" customHeight="1">
      <c r="B699" s="70"/>
      <c r="F699" s="66"/>
    </row>
    <row r="700" spans="2:6" ht="21" customHeight="1">
      <c r="B700" s="70"/>
      <c r="F700" s="66"/>
    </row>
    <row r="701" spans="2:6" ht="21" customHeight="1">
      <c r="B701" s="70"/>
      <c r="F701" s="66"/>
    </row>
    <row r="702" spans="2:6" ht="21" customHeight="1">
      <c r="B702" s="70"/>
      <c r="F702" s="66"/>
    </row>
    <row r="703" spans="2:6" ht="21" customHeight="1">
      <c r="B703" s="70"/>
      <c r="F703" s="66"/>
    </row>
    <row r="704" spans="2:6" ht="21" customHeight="1">
      <c r="B704" s="70"/>
      <c r="F704" s="66"/>
    </row>
    <row r="705" spans="2:6" ht="21" customHeight="1">
      <c r="B705" s="70"/>
      <c r="F705" s="66"/>
    </row>
    <row r="706" spans="2:6" ht="21" customHeight="1">
      <c r="B706" s="70"/>
      <c r="F706" s="66"/>
    </row>
    <row r="707" spans="2:6" ht="21" customHeight="1">
      <c r="B707" s="70"/>
      <c r="F707" s="66"/>
    </row>
    <row r="708" spans="2:6" ht="21" customHeight="1">
      <c r="B708" s="70"/>
      <c r="F708" s="66"/>
    </row>
    <row r="709" spans="2:6" ht="21" customHeight="1">
      <c r="B709" s="70"/>
      <c r="F709" s="66"/>
    </row>
    <row r="710" spans="2:6" ht="21" customHeight="1">
      <c r="B710" s="70"/>
      <c r="F710" s="66"/>
    </row>
    <row r="711" spans="2:6" ht="21" customHeight="1">
      <c r="B711" s="70"/>
      <c r="F711" s="66"/>
    </row>
    <row r="712" spans="2:6" ht="21" customHeight="1">
      <c r="B712" s="70"/>
      <c r="F712" s="66"/>
    </row>
    <row r="713" spans="2:6" ht="21" customHeight="1">
      <c r="B713" s="70"/>
      <c r="F713" s="66"/>
    </row>
    <row r="714" spans="2:6" ht="21" customHeight="1">
      <c r="B714" s="70"/>
      <c r="F714" s="66"/>
    </row>
    <row r="715" spans="2:6" ht="21" customHeight="1">
      <c r="B715" s="70"/>
      <c r="F715" s="66"/>
    </row>
    <row r="716" spans="2:6" ht="21" customHeight="1">
      <c r="B716" s="70"/>
      <c r="F716" s="66"/>
    </row>
    <row r="717" spans="2:6" ht="21" customHeight="1">
      <c r="B717" s="70"/>
      <c r="F717" s="66"/>
    </row>
    <row r="718" spans="2:6" ht="21" customHeight="1">
      <c r="B718" s="70"/>
      <c r="F718" s="66"/>
    </row>
    <row r="719" spans="2:6" ht="21" customHeight="1">
      <c r="B719" s="70"/>
      <c r="F719" s="66"/>
    </row>
    <row r="720" spans="2:6" ht="21" customHeight="1">
      <c r="B720" s="70"/>
      <c r="F720" s="66"/>
    </row>
    <row r="721" spans="2:6" ht="21" customHeight="1">
      <c r="B721" s="70"/>
      <c r="F721" s="66"/>
    </row>
    <row r="722" spans="2:6" ht="21" customHeight="1">
      <c r="B722" s="70"/>
      <c r="F722" s="66"/>
    </row>
    <row r="723" spans="2:6" ht="21" customHeight="1">
      <c r="B723" s="70"/>
      <c r="F723" s="66"/>
    </row>
    <row r="724" spans="2:6" ht="21" customHeight="1">
      <c r="B724" s="70"/>
      <c r="F724" s="66"/>
    </row>
    <row r="725" spans="2:6" ht="21" customHeight="1">
      <c r="B725" s="70"/>
      <c r="F725" s="66"/>
    </row>
    <row r="726" spans="2:6" ht="21" customHeight="1">
      <c r="B726" s="70"/>
      <c r="F726" s="66"/>
    </row>
    <row r="727" spans="2:6" ht="21" customHeight="1">
      <c r="B727" s="70"/>
      <c r="F727" s="66"/>
    </row>
    <row r="728" spans="2:6" ht="21" customHeight="1">
      <c r="B728" s="70"/>
      <c r="F728" s="66"/>
    </row>
    <row r="729" spans="2:6" ht="21" customHeight="1">
      <c r="B729" s="70"/>
      <c r="F729" s="66"/>
    </row>
    <row r="730" spans="2:6" ht="21" customHeight="1">
      <c r="B730" s="70"/>
      <c r="F730" s="66"/>
    </row>
    <row r="731" spans="2:6" ht="21" customHeight="1">
      <c r="B731" s="70"/>
      <c r="F731" s="66"/>
    </row>
    <row r="732" spans="2:6" ht="21" customHeight="1">
      <c r="B732" s="70"/>
      <c r="F732" s="66"/>
    </row>
    <row r="733" spans="2:6" ht="21" customHeight="1">
      <c r="B733" s="70"/>
      <c r="F733" s="66"/>
    </row>
    <row r="734" spans="2:6" ht="21" customHeight="1">
      <c r="B734" s="70"/>
      <c r="F734" s="66"/>
    </row>
    <row r="735" spans="2:6" ht="21" customHeight="1">
      <c r="B735" s="70"/>
      <c r="F735" s="66"/>
    </row>
    <row r="736" spans="2:6" ht="21" customHeight="1">
      <c r="B736" s="70"/>
      <c r="F736" s="66"/>
    </row>
    <row r="737" spans="2:6" ht="21" customHeight="1">
      <c r="B737" s="70"/>
      <c r="F737" s="66"/>
    </row>
    <row r="738" spans="2:6" ht="21" customHeight="1">
      <c r="B738" s="70"/>
      <c r="F738" s="66"/>
    </row>
    <row r="739" spans="2:6" ht="21" customHeight="1">
      <c r="B739" s="70"/>
      <c r="F739" s="66"/>
    </row>
    <row r="740" spans="2:6" ht="21" customHeight="1">
      <c r="B740" s="70"/>
      <c r="F740" s="66"/>
    </row>
    <row r="741" spans="2:6" ht="21" customHeight="1">
      <c r="B741" s="70"/>
      <c r="F741" s="66"/>
    </row>
    <row r="742" spans="2:6" ht="21" customHeight="1">
      <c r="B742" s="70"/>
      <c r="F742" s="66"/>
    </row>
    <row r="743" spans="2:6" ht="21" customHeight="1">
      <c r="B743" s="70"/>
      <c r="F743" s="66"/>
    </row>
    <row r="744" spans="2:6" ht="21" customHeight="1">
      <c r="B744" s="70"/>
      <c r="F744" s="66"/>
    </row>
    <row r="745" spans="2:6" ht="21" customHeight="1">
      <c r="B745" s="70"/>
      <c r="F745" s="66"/>
    </row>
    <row r="746" spans="2:6" ht="21" customHeight="1">
      <c r="B746" s="70"/>
      <c r="F746" s="66"/>
    </row>
    <row r="747" spans="2:6" ht="21" customHeight="1">
      <c r="B747" s="70"/>
      <c r="F747" s="66"/>
    </row>
    <row r="748" spans="2:6" ht="21" customHeight="1">
      <c r="B748" s="70"/>
      <c r="F748" s="66"/>
    </row>
    <row r="749" spans="2:6" ht="21" customHeight="1">
      <c r="B749" s="70"/>
      <c r="F749" s="66"/>
    </row>
    <row r="750" spans="2:6" ht="21" customHeight="1">
      <c r="B750" s="70"/>
      <c r="F750" s="66"/>
    </row>
    <row r="751" spans="2:6" ht="21" customHeight="1">
      <c r="B751" s="70"/>
      <c r="F751" s="66"/>
    </row>
    <row r="752" spans="2:6" ht="21" customHeight="1">
      <c r="B752" s="70"/>
      <c r="F752" s="66"/>
    </row>
    <row r="753" spans="2:6" ht="21" customHeight="1">
      <c r="B753" s="70"/>
      <c r="F753" s="66"/>
    </row>
    <row r="754" spans="2:6" ht="21" customHeight="1">
      <c r="B754" s="70"/>
      <c r="F754" s="66"/>
    </row>
    <row r="755" spans="2:6" ht="21" customHeight="1">
      <c r="B755" s="70"/>
      <c r="F755" s="66"/>
    </row>
    <row r="756" spans="2:6" ht="21" customHeight="1">
      <c r="B756" s="70"/>
      <c r="F756" s="66"/>
    </row>
    <row r="757" spans="2:6" ht="21" customHeight="1">
      <c r="B757" s="70"/>
      <c r="F757" s="66"/>
    </row>
    <row r="758" spans="2:6" ht="21" customHeight="1">
      <c r="B758" s="70"/>
      <c r="F758" s="66"/>
    </row>
    <row r="759" spans="2:6" ht="21" customHeight="1">
      <c r="B759" s="70"/>
      <c r="F759" s="66"/>
    </row>
    <row r="760" spans="2:6" ht="21" customHeight="1">
      <c r="B760" s="70"/>
      <c r="F760" s="66"/>
    </row>
    <row r="761" spans="2:6" ht="21" customHeight="1">
      <c r="B761" s="70"/>
      <c r="F761" s="66"/>
    </row>
    <row r="762" spans="2:6" ht="21" customHeight="1">
      <c r="B762" s="70"/>
      <c r="F762" s="66"/>
    </row>
    <row r="763" spans="2:6" ht="21" customHeight="1">
      <c r="B763" s="70"/>
      <c r="F763" s="66"/>
    </row>
    <row r="764" spans="2:6" ht="21" customHeight="1">
      <c r="B764" s="70"/>
      <c r="F764" s="66"/>
    </row>
    <row r="765" spans="2:6" ht="21" customHeight="1">
      <c r="B765" s="70"/>
      <c r="F765" s="66"/>
    </row>
    <row r="766" spans="2:6" ht="21" customHeight="1">
      <c r="B766" s="70"/>
      <c r="F766" s="66"/>
    </row>
    <row r="767" spans="2:6" ht="21" customHeight="1">
      <c r="B767" s="70"/>
      <c r="F767" s="66"/>
    </row>
    <row r="768" spans="2:6" ht="21" customHeight="1">
      <c r="B768" s="70"/>
      <c r="F768" s="66"/>
    </row>
    <row r="769" spans="2:6" ht="21" customHeight="1">
      <c r="B769" s="70"/>
      <c r="F769" s="66"/>
    </row>
    <row r="770" spans="2:6" ht="21" customHeight="1">
      <c r="B770" s="70"/>
      <c r="F770" s="66"/>
    </row>
    <row r="771" spans="2:6" ht="21" customHeight="1">
      <c r="B771" s="70"/>
      <c r="F771" s="66"/>
    </row>
    <row r="772" spans="2:6" ht="21" customHeight="1">
      <c r="B772" s="70"/>
      <c r="F772" s="66"/>
    </row>
    <row r="773" spans="2:6" ht="21" customHeight="1">
      <c r="B773" s="70"/>
      <c r="F773" s="66"/>
    </row>
    <row r="774" spans="2:6" ht="21" customHeight="1">
      <c r="B774" s="70"/>
      <c r="F774" s="66"/>
    </row>
    <row r="775" spans="2:6" ht="21" customHeight="1">
      <c r="B775" s="70"/>
      <c r="F775" s="66"/>
    </row>
    <row r="776" spans="2:6" ht="21" customHeight="1">
      <c r="B776" s="70"/>
      <c r="F776" s="66"/>
    </row>
    <row r="777" spans="2:6" ht="21" customHeight="1">
      <c r="B777" s="70"/>
      <c r="F777" s="66"/>
    </row>
    <row r="778" spans="2:6" ht="21" customHeight="1">
      <c r="B778" s="70"/>
      <c r="F778" s="66"/>
    </row>
    <row r="779" spans="2:6" ht="21" customHeight="1">
      <c r="B779" s="70"/>
      <c r="F779" s="66"/>
    </row>
    <row r="780" spans="2:6" ht="21" customHeight="1">
      <c r="B780" s="70"/>
      <c r="F780" s="66"/>
    </row>
    <row r="781" spans="2:6" ht="21" customHeight="1">
      <c r="B781" s="70"/>
      <c r="F781" s="66"/>
    </row>
    <row r="782" spans="2:6" ht="21" customHeight="1">
      <c r="B782" s="70"/>
      <c r="F782" s="66"/>
    </row>
    <row r="783" spans="2:6" ht="21" customHeight="1">
      <c r="B783" s="70"/>
      <c r="F783" s="66"/>
    </row>
    <row r="784" spans="2:6" ht="21" customHeight="1">
      <c r="B784" s="70"/>
      <c r="F784" s="66"/>
    </row>
    <row r="785" spans="2:6" ht="21" customHeight="1">
      <c r="B785" s="70"/>
      <c r="F785" s="66"/>
    </row>
    <row r="786" spans="2:6" ht="21" customHeight="1">
      <c r="B786" s="70"/>
      <c r="F786" s="66"/>
    </row>
    <row r="787" spans="2:6" ht="21" customHeight="1">
      <c r="B787" s="70"/>
      <c r="F787" s="66"/>
    </row>
    <row r="788" spans="2:6" ht="21" customHeight="1">
      <c r="B788" s="70"/>
      <c r="F788" s="66"/>
    </row>
    <row r="789" spans="2:6" ht="21" customHeight="1">
      <c r="B789" s="70"/>
      <c r="F789" s="66"/>
    </row>
    <row r="790" spans="2:6" ht="21" customHeight="1">
      <c r="B790" s="70"/>
      <c r="F790" s="66"/>
    </row>
    <row r="791" spans="2:6" ht="21" customHeight="1">
      <c r="B791" s="70"/>
      <c r="F791" s="66"/>
    </row>
    <row r="792" spans="2:6" ht="21" customHeight="1">
      <c r="B792" s="70"/>
      <c r="F792" s="66"/>
    </row>
    <row r="793" spans="2:6" ht="21" customHeight="1">
      <c r="B793" s="70"/>
      <c r="F793" s="66"/>
    </row>
    <row r="794" spans="2:6" ht="21" customHeight="1">
      <c r="B794" s="70"/>
      <c r="F794" s="66"/>
    </row>
    <row r="795" spans="2:6" ht="21" customHeight="1">
      <c r="B795" s="70"/>
      <c r="F795" s="66"/>
    </row>
    <row r="796" spans="2:6" ht="21" customHeight="1">
      <c r="B796" s="70"/>
      <c r="F796" s="66"/>
    </row>
    <row r="797" spans="2:6" ht="21" customHeight="1">
      <c r="B797" s="70"/>
      <c r="F797" s="66"/>
    </row>
    <row r="798" spans="2:6" ht="21" customHeight="1">
      <c r="B798" s="70"/>
      <c r="F798" s="66"/>
    </row>
    <row r="799" spans="2:6" ht="21" customHeight="1">
      <c r="B799" s="70"/>
      <c r="F799" s="66"/>
    </row>
    <row r="800" spans="2:6" ht="21" customHeight="1">
      <c r="B800" s="70"/>
      <c r="F800" s="66"/>
    </row>
    <row r="801" spans="2:6" ht="21" customHeight="1">
      <c r="B801" s="70"/>
      <c r="F801" s="66"/>
    </row>
    <row r="802" spans="2:6" ht="21" customHeight="1">
      <c r="B802" s="70"/>
      <c r="F802" s="66"/>
    </row>
    <row r="803" spans="2:6" ht="21" customHeight="1">
      <c r="B803" s="70"/>
      <c r="F803" s="66"/>
    </row>
    <row r="804" spans="2:6" ht="21" customHeight="1">
      <c r="B804" s="70"/>
      <c r="F804" s="66"/>
    </row>
    <row r="805" spans="2:6" ht="21" customHeight="1">
      <c r="B805" s="70"/>
      <c r="F805" s="66"/>
    </row>
    <row r="806" spans="2:6" ht="21" customHeight="1">
      <c r="B806" s="70"/>
      <c r="F806" s="66"/>
    </row>
    <row r="807" spans="2:6" ht="21" customHeight="1">
      <c r="B807" s="70"/>
      <c r="F807" s="66"/>
    </row>
    <row r="808" spans="2:6" ht="21" customHeight="1">
      <c r="B808" s="70"/>
      <c r="F808" s="66"/>
    </row>
    <row r="809" spans="2:6" ht="21" customHeight="1">
      <c r="B809" s="70"/>
      <c r="F809" s="66"/>
    </row>
    <row r="810" spans="2:6" ht="21" customHeight="1">
      <c r="B810" s="70"/>
      <c r="F810" s="66"/>
    </row>
    <row r="811" spans="2:6" ht="21" customHeight="1">
      <c r="B811" s="70"/>
      <c r="F811" s="66"/>
    </row>
    <row r="812" spans="2:6" ht="21" customHeight="1">
      <c r="B812" s="70"/>
      <c r="F812" s="66"/>
    </row>
    <row r="813" spans="2:6" ht="21" customHeight="1">
      <c r="B813" s="70"/>
      <c r="F813" s="66"/>
    </row>
    <row r="814" spans="2:6" ht="21" customHeight="1">
      <c r="B814" s="70"/>
      <c r="F814" s="66"/>
    </row>
    <row r="815" spans="2:6" ht="21" customHeight="1">
      <c r="B815" s="70"/>
      <c r="F815" s="66"/>
    </row>
    <row r="816" spans="2:6" ht="21" customHeight="1">
      <c r="B816" s="70"/>
      <c r="F816" s="66"/>
    </row>
    <row r="817" spans="2:6" ht="21" customHeight="1">
      <c r="B817" s="70"/>
      <c r="F817" s="66"/>
    </row>
    <row r="818" spans="2:6" ht="21" customHeight="1">
      <c r="B818" s="70"/>
      <c r="F818" s="66"/>
    </row>
    <row r="819" spans="2:6" ht="21" customHeight="1">
      <c r="B819" s="70"/>
      <c r="F819" s="66"/>
    </row>
    <row r="820" spans="2:6" ht="21" customHeight="1">
      <c r="B820" s="70"/>
      <c r="F820" s="66"/>
    </row>
    <row r="821" spans="2:6" ht="21" customHeight="1">
      <c r="B821" s="70"/>
      <c r="F821" s="66"/>
    </row>
    <row r="822" spans="2:6" ht="21" customHeight="1">
      <c r="B822" s="70"/>
      <c r="F822" s="66"/>
    </row>
    <row r="823" spans="2:6" ht="21" customHeight="1">
      <c r="B823" s="70"/>
      <c r="F823" s="66"/>
    </row>
    <row r="824" spans="2:6" ht="21" customHeight="1">
      <c r="B824" s="70"/>
      <c r="F824" s="66"/>
    </row>
    <row r="825" spans="2:6" ht="21" customHeight="1">
      <c r="B825" s="70"/>
      <c r="F825" s="66"/>
    </row>
    <row r="826" spans="2:6" ht="21" customHeight="1">
      <c r="B826" s="70"/>
      <c r="F826" s="66"/>
    </row>
    <row r="827" spans="2:6" ht="21" customHeight="1">
      <c r="B827" s="70"/>
      <c r="F827" s="66"/>
    </row>
    <row r="828" spans="2:6" ht="21" customHeight="1">
      <c r="B828" s="70"/>
      <c r="F828" s="66"/>
    </row>
    <row r="829" spans="2:6" ht="21" customHeight="1">
      <c r="B829" s="70"/>
      <c r="F829" s="66"/>
    </row>
    <row r="830" spans="2:6" ht="21" customHeight="1">
      <c r="B830" s="70"/>
      <c r="F830" s="66"/>
    </row>
    <row r="831" spans="2:6" ht="21" customHeight="1">
      <c r="B831" s="70"/>
      <c r="F831" s="66"/>
    </row>
    <row r="832" spans="2:6" ht="21" customHeight="1">
      <c r="B832" s="70"/>
      <c r="F832" s="66"/>
    </row>
    <row r="833" spans="2:6" ht="21" customHeight="1">
      <c r="B833" s="70"/>
      <c r="F833" s="66"/>
    </row>
    <row r="834" spans="2:6" ht="21" customHeight="1">
      <c r="B834" s="70"/>
      <c r="F834" s="66"/>
    </row>
    <row r="835" spans="2:6" ht="21" customHeight="1">
      <c r="B835" s="70"/>
      <c r="F835" s="66"/>
    </row>
    <row r="836" spans="2:6" ht="21" customHeight="1">
      <c r="B836" s="70"/>
      <c r="F836" s="66"/>
    </row>
    <row r="837" spans="2:6" ht="21" customHeight="1">
      <c r="B837" s="70"/>
      <c r="F837" s="66"/>
    </row>
    <row r="838" spans="2:6" ht="21" customHeight="1">
      <c r="B838" s="70"/>
      <c r="F838" s="66"/>
    </row>
    <row r="839" spans="2:6" ht="21" customHeight="1">
      <c r="B839" s="70"/>
      <c r="F839" s="66"/>
    </row>
    <row r="840" spans="2:6" ht="21" customHeight="1">
      <c r="B840" s="70"/>
      <c r="F840" s="66"/>
    </row>
    <row r="841" spans="2:6" ht="21" customHeight="1">
      <c r="B841" s="70"/>
      <c r="F841" s="66"/>
    </row>
    <row r="842" spans="2:6" ht="21" customHeight="1">
      <c r="B842" s="70"/>
      <c r="F842" s="66"/>
    </row>
    <row r="843" spans="2:6" ht="21" customHeight="1">
      <c r="B843" s="70"/>
      <c r="F843" s="66"/>
    </row>
    <row r="844" spans="2:6" ht="21" customHeight="1">
      <c r="B844" s="70"/>
      <c r="F844" s="66"/>
    </row>
    <row r="845" spans="2:6" ht="21" customHeight="1">
      <c r="B845" s="70"/>
      <c r="F845" s="66"/>
    </row>
    <row r="846" spans="2:6" ht="21" customHeight="1">
      <c r="B846" s="70"/>
      <c r="F846" s="66"/>
    </row>
    <row r="847" spans="2:6" ht="21" customHeight="1">
      <c r="B847" s="70"/>
      <c r="F847" s="66"/>
    </row>
    <row r="848" spans="2:6" ht="21" customHeight="1">
      <c r="B848" s="70"/>
      <c r="F848" s="66"/>
    </row>
    <row r="849" spans="2:6" ht="21" customHeight="1">
      <c r="B849" s="70"/>
      <c r="F849" s="66"/>
    </row>
    <row r="850" spans="2:6" ht="21" customHeight="1">
      <c r="B850" s="70"/>
      <c r="F850" s="66"/>
    </row>
    <row r="851" spans="2:6" ht="21" customHeight="1">
      <c r="B851" s="70"/>
      <c r="F851" s="66"/>
    </row>
    <row r="852" spans="2:6" ht="21" customHeight="1">
      <c r="B852" s="70"/>
      <c r="F852" s="66"/>
    </row>
    <row r="853" spans="2:6" ht="21" customHeight="1">
      <c r="B853" s="70"/>
      <c r="F853" s="66"/>
    </row>
    <row r="854" spans="2:6" ht="21" customHeight="1">
      <c r="B854" s="70"/>
      <c r="F854" s="66"/>
    </row>
    <row r="855" spans="2:6" ht="21" customHeight="1">
      <c r="B855" s="70"/>
      <c r="F855" s="66"/>
    </row>
    <row r="856" spans="2:6" ht="21" customHeight="1">
      <c r="B856" s="70"/>
      <c r="F856" s="66"/>
    </row>
    <row r="857" spans="2:6" ht="21" customHeight="1">
      <c r="B857" s="70"/>
      <c r="F857" s="66"/>
    </row>
    <row r="858" spans="2:6" ht="21" customHeight="1">
      <c r="B858" s="70"/>
      <c r="F858" s="66"/>
    </row>
    <row r="859" spans="2:6" ht="21" customHeight="1">
      <c r="B859" s="70"/>
      <c r="F859" s="66"/>
    </row>
    <row r="860" spans="2:6" ht="21" customHeight="1">
      <c r="B860" s="70"/>
      <c r="F860" s="66"/>
    </row>
    <row r="861" spans="2:6" ht="21" customHeight="1">
      <c r="B861" s="70"/>
      <c r="F861" s="66"/>
    </row>
    <row r="862" spans="2:6" ht="21" customHeight="1">
      <c r="B862" s="70"/>
      <c r="F862" s="66"/>
    </row>
    <row r="863" spans="2:6" ht="21" customHeight="1">
      <c r="B863" s="70"/>
      <c r="F863" s="66"/>
    </row>
    <row r="864" spans="2:6" ht="21" customHeight="1">
      <c r="B864" s="70"/>
      <c r="F864" s="66"/>
    </row>
    <row r="865" spans="2:6" ht="21" customHeight="1">
      <c r="B865" s="70"/>
      <c r="F865" s="66"/>
    </row>
    <row r="866" spans="2:6" ht="21" customHeight="1">
      <c r="B866" s="70"/>
      <c r="F866" s="66"/>
    </row>
    <row r="867" spans="2:6" ht="21" customHeight="1">
      <c r="B867" s="70"/>
      <c r="F867" s="66"/>
    </row>
    <row r="868" spans="2:6" ht="21" customHeight="1">
      <c r="B868" s="70"/>
      <c r="F868" s="66"/>
    </row>
    <row r="869" spans="2:6" ht="21" customHeight="1">
      <c r="B869" s="70"/>
      <c r="F869" s="66"/>
    </row>
    <row r="870" spans="2:6" ht="21" customHeight="1">
      <c r="B870" s="70"/>
      <c r="F870" s="66"/>
    </row>
    <row r="871" spans="2:6" ht="21" customHeight="1">
      <c r="B871" s="70"/>
      <c r="F871" s="66"/>
    </row>
    <row r="872" spans="2:6" ht="21" customHeight="1">
      <c r="B872" s="70"/>
      <c r="F872" s="66"/>
    </row>
    <row r="873" spans="2:6" ht="21" customHeight="1">
      <c r="B873" s="70"/>
      <c r="F873" s="66"/>
    </row>
    <row r="874" spans="2:6" ht="21" customHeight="1">
      <c r="B874" s="70"/>
      <c r="F874" s="66"/>
    </row>
    <row r="875" spans="2:6" ht="21" customHeight="1">
      <c r="B875" s="70"/>
      <c r="F875" s="66"/>
    </row>
    <row r="876" spans="2:6" ht="21" customHeight="1">
      <c r="B876" s="70"/>
      <c r="F876" s="66"/>
    </row>
    <row r="877" spans="2:6" ht="21" customHeight="1">
      <c r="B877" s="70"/>
      <c r="F877" s="66"/>
    </row>
    <row r="878" spans="2:6" ht="21" customHeight="1">
      <c r="B878" s="70"/>
      <c r="F878" s="66"/>
    </row>
    <row r="879" spans="2:6" ht="21" customHeight="1">
      <c r="B879" s="70"/>
      <c r="F879" s="66"/>
    </row>
    <row r="880" spans="2:6" ht="21" customHeight="1">
      <c r="B880" s="70"/>
      <c r="F880" s="66"/>
    </row>
    <row r="881" spans="2:6" ht="21" customHeight="1">
      <c r="B881" s="70"/>
      <c r="F881" s="66"/>
    </row>
    <row r="882" spans="2:6" ht="21" customHeight="1">
      <c r="B882" s="70"/>
      <c r="F882" s="66"/>
    </row>
    <row r="883" spans="2:6" ht="21" customHeight="1">
      <c r="B883" s="70"/>
      <c r="F883" s="66"/>
    </row>
    <row r="884" spans="2:6" ht="21" customHeight="1">
      <c r="B884" s="70"/>
      <c r="F884" s="66"/>
    </row>
    <row r="885" spans="2:6" ht="21" customHeight="1">
      <c r="B885" s="70"/>
      <c r="F885" s="66"/>
    </row>
    <row r="886" spans="2:6" ht="21" customHeight="1">
      <c r="B886" s="70"/>
      <c r="F886" s="66"/>
    </row>
    <row r="887" spans="2:6" ht="21" customHeight="1">
      <c r="B887" s="70"/>
      <c r="F887" s="66"/>
    </row>
    <row r="888" spans="2:6" ht="21" customHeight="1">
      <c r="B888" s="70"/>
      <c r="F888" s="66"/>
    </row>
    <row r="889" spans="2:6" ht="21" customHeight="1">
      <c r="B889" s="70"/>
      <c r="F889" s="66"/>
    </row>
    <row r="890" spans="2:6" ht="21" customHeight="1">
      <c r="B890" s="70"/>
      <c r="F890" s="66"/>
    </row>
    <row r="891" spans="2:6" ht="21" customHeight="1">
      <c r="B891" s="70"/>
      <c r="F891" s="66"/>
    </row>
    <row r="892" spans="2:6" ht="21" customHeight="1">
      <c r="B892" s="70"/>
      <c r="F892" s="66"/>
    </row>
    <row r="893" spans="2:6" ht="21" customHeight="1">
      <c r="B893" s="70"/>
      <c r="F893" s="66"/>
    </row>
    <row r="894" spans="2:6" ht="21" customHeight="1">
      <c r="B894" s="70"/>
      <c r="F894" s="66"/>
    </row>
    <row r="895" spans="2:6" ht="21" customHeight="1">
      <c r="B895" s="70"/>
      <c r="F895" s="66"/>
    </row>
    <row r="896" spans="2:6" ht="21" customHeight="1">
      <c r="B896" s="70"/>
      <c r="F896" s="66"/>
    </row>
    <row r="897" spans="2:6" ht="21" customHeight="1">
      <c r="B897" s="70"/>
      <c r="F897" s="66"/>
    </row>
    <row r="898" spans="2:6" ht="21" customHeight="1">
      <c r="B898" s="70"/>
      <c r="F898" s="66"/>
    </row>
    <row r="899" spans="2:6" ht="21" customHeight="1">
      <c r="B899" s="70"/>
      <c r="F899" s="66"/>
    </row>
    <row r="900" spans="2:6" ht="21" customHeight="1">
      <c r="B900" s="70"/>
      <c r="F900" s="66"/>
    </row>
    <row r="901" spans="2:6" ht="21" customHeight="1">
      <c r="B901" s="70"/>
      <c r="F901" s="66"/>
    </row>
    <row r="902" spans="2:6" ht="21" customHeight="1">
      <c r="B902" s="70"/>
      <c r="F902" s="66"/>
    </row>
    <row r="903" spans="2:6" ht="21" customHeight="1">
      <c r="B903" s="70"/>
      <c r="F903" s="66"/>
    </row>
    <row r="904" spans="2:6" ht="21" customHeight="1">
      <c r="B904" s="70"/>
      <c r="F904" s="66"/>
    </row>
    <row r="905" spans="2:6" ht="21" customHeight="1">
      <c r="B905" s="70"/>
      <c r="F905" s="66"/>
    </row>
    <row r="906" spans="2:6" ht="21" customHeight="1">
      <c r="B906" s="70"/>
      <c r="F906" s="66"/>
    </row>
    <row r="907" spans="2:6" ht="21" customHeight="1">
      <c r="B907" s="70"/>
      <c r="F907" s="66"/>
    </row>
    <row r="908" spans="2:6" ht="21" customHeight="1">
      <c r="B908" s="70"/>
      <c r="F908" s="66"/>
    </row>
    <row r="909" spans="2:6" ht="21" customHeight="1">
      <c r="B909" s="70"/>
      <c r="F909" s="66"/>
    </row>
    <row r="910" spans="2:6" ht="21" customHeight="1">
      <c r="B910" s="70"/>
      <c r="F910" s="66"/>
    </row>
    <row r="911" spans="2:6" ht="21" customHeight="1">
      <c r="B911" s="70"/>
      <c r="F911" s="66"/>
    </row>
    <row r="912" spans="2:6" ht="21" customHeight="1">
      <c r="B912" s="70"/>
      <c r="F912" s="66"/>
    </row>
    <row r="913" spans="2:6" ht="21" customHeight="1">
      <c r="B913" s="70"/>
      <c r="F913" s="66"/>
    </row>
    <row r="914" spans="2:6" ht="21" customHeight="1">
      <c r="B914" s="70"/>
      <c r="F914" s="66"/>
    </row>
    <row r="915" spans="2:6" ht="21" customHeight="1">
      <c r="B915" s="70"/>
      <c r="F915" s="66"/>
    </row>
    <row r="916" spans="2:6" ht="21" customHeight="1">
      <c r="B916" s="70"/>
      <c r="F916" s="66"/>
    </row>
    <row r="917" spans="2:6" ht="21" customHeight="1">
      <c r="B917" s="70"/>
      <c r="F917" s="66"/>
    </row>
    <row r="918" spans="2:6" ht="21" customHeight="1">
      <c r="B918" s="70"/>
      <c r="F918" s="66"/>
    </row>
    <row r="919" spans="2:6" ht="21" customHeight="1">
      <c r="B919" s="70"/>
      <c r="F919" s="66"/>
    </row>
    <row r="920" spans="2:6" ht="21" customHeight="1">
      <c r="B920" s="70"/>
      <c r="F920" s="66"/>
    </row>
    <row r="921" spans="2:6" ht="21" customHeight="1">
      <c r="B921" s="70"/>
      <c r="F921" s="66"/>
    </row>
    <row r="922" spans="2:6" ht="21" customHeight="1">
      <c r="B922" s="70"/>
      <c r="F922" s="66"/>
    </row>
    <row r="923" spans="2:6" ht="21" customHeight="1">
      <c r="B923" s="70"/>
      <c r="F923" s="66"/>
    </row>
    <row r="924" spans="2:6" ht="21" customHeight="1">
      <c r="B924" s="70"/>
      <c r="F924" s="66"/>
    </row>
    <row r="925" spans="2:6" ht="21" customHeight="1">
      <c r="B925" s="70"/>
      <c r="F925" s="66"/>
    </row>
    <row r="926" spans="2:6" ht="21" customHeight="1">
      <c r="B926" s="70"/>
      <c r="F926" s="66"/>
    </row>
    <row r="927" spans="2:6" ht="21" customHeight="1">
      <c r="B927" s="70"/>
      <c r="F927" s="66"/>
    </row>
    <row r="928" spans="2:6" ht="21" customHeight="1">
      <c r="B928" s="70"/>
      <c r="F928" s="66"/>
    </row>
    <row r="929" spans="2:6" ht="21" customHeight="1">
      <c r="B929" s="70"/>
      <c r="F929" s="66"/>
    </row>
    <row r="930" spans="2:6" ht="21" customHeight="1">
      <c r="B930" s="70"/>
      <c r="F930" s="66"/>
    </row>
    <row r="931" spans="2:6" ht="21" customHeight="1">
      <c r="B931" s="70"/>
      <c r="F931" s="66"/>
    </row>
    <row r="932" spans="2:6" ht="21" customHeight="1">
      <c r="B932" s="70"/>
      <c r="F932" s="66"/>
    </row>
    <row r="933" spans="2:6" ht="21" customHeight="1">
      <c r="B933" s="70"/>
      <c r="F933" s="66"/>
    </row>
    <row r="934" spans="2:6" ht="21" customHeight="1">
      <c r="B934" s="70"/>
      <c r="F934" s="66"/>
    </row>
    <row r="935" spans="2:6" ht="21" customHeight="1">
      <c r="B935" s="70"/>
      <c r="F935" s="66"/>
    </row>
    <row r="936" spans="2:6" ht="21" customHeight="1">
      <c r="B936" s="70"/>
      <c r="F936" s="66"/>
    </row>
    <row r="937" spans="2:6" ht="21" customHeight="1">
      <c r="B937" s="70"/>
      <c r="F937" s="66"/>
    </row>
    <row r="938" spans="2:6" ht="21" customHeight="1">
      <c r="B938" s="70"/>
      <c r="F938" s="66"/>
    </row>
    <row r="939" spans="2:6" ht="21" customHeight="1">
      <c r="B939" s="70"/>
      <c r="F939" s="66"/>
    </row>
    <row r="940" spans="2:6" ht="21" customHeight="1">
      <c r="B940" s="70"/>
      <c r="F940" s="66"/>
    </row>
    <row r="941" spans="2:6" ht="21" customHeight="1">
      <c r="B941" s="70"/>
      <c r="F941" s="66"/>
    </row>
    <row r="942" spans="2:6" ht="21" customHeight="1">
      <c r="B942" s="70"/>
      <c r="F942" s="66"/>
    </row>
    <row r="943" spans="2:6" ht="21" customHeight="1">
      <c r="B943" s="70"/>
      <c r="F943" s="66"/>
    </row>
    <row r="944" spans="2:6" ht="21" customHeight="1">
      <c r="B944" s="70"/>
      <c r="F944" s="66"/>
    </row>
    <row r="945" spans="2:6" ht="21" customHeight="1">
      <c r="B945" s="70"/>
      <c r="F945" s="66"/>
    </row>
    <row r="946" spans="2:6" ht="21" customHeight="1">
      <c r="B946" s="70"/>
      <c r="F946" s="66"/>
    </row>
    <row r="947" spans="2:6" ht="21" customHeight="1">
      <c r="B947" s="70"/>
      <c r="F947" s="66"/>
    </row>
    <row r="948" spans="2:6" ht="21" customHeight="1">
      <c r="B948" s="70"/>
      <c r="F948" s="66"/>
    </row>
    <row r="949" spans="2:6" ht="21" customHeight="1">
      <c r="B949" s="70"/>
      <c r="F949" s="66"/>
    </row>
    <row r="950" spans="2:6" ht="21" customHeight="1">
      <c r="B950" s="70"/>
      <c r="F950" s="66"/>
    </row>
    <row r="951" spans="2:6" ht="21" customHeight="1">
      <c r="B951" s="70"/>
      <c r="F951" s="66"/>
    </row>
    <row r="952" spans="2:6" ht="21" customHeight="1">
      <c r="B952" s="70"/>
      <c r="F952" s="66"/>
    </row>
    <row r="953" spans="2:6" ht="21" customHeight="1">
      <c r="B953" s="70"/>
      <c r="F953" s="66"/>
    </row>
    <row r="954" spans="2:6" ht="21" customHeight="1">
      <c r="B954" s="70"/>
      <c r="F954" s="66"/>
    </row>
    <row r="955" spans="2:6" ht="21" customHeight="1">
      <c r="B955" s="70"/>
      <c r="F955" s="66"/>
    </row>
    <row r="956" spans="2:6" ht="21" customHeight="1">
      <c r="B956" s="70"/>
      <c r="F956" s="66"/>
    </row>
    <row r="957" spans="2:6" ht="21" customHeight="1">
      <c r="B957" s="70"/>
      <c r="F957" s="66"/>
    </row>
    <row r="958" spans="2:6" ht="21" customHeight="1">
      <c r="B958" s="70"/>
      <c r="F958" s="66"/>
    </row>
    <row r="959" spans="2:6" ht="21" customHeight="1">
      <c r="B959" s="70"/>
      <c r="F959" s="66"/>
    </row>
    <row r="960" spans="2:6" ht="21" customHeight="1">
      <c r="B960" s="70"/>
      <c r="F960" s="66"/>
    </row>
    <row r="961" spans="2:6" ht="21" customHeight="1">
      <c r="B961" s="70"/>
      <c r="F961" s="66"/>
    </row>
    <row r="962" spans="2:6" ht="21" customHeight="1">
      <c r="B962" s="70"/>
      <c r="F962" s="66"/>
    </row>
    <row r="963" spans="2:6" ht="21" customHeight="1">
      <c r="B963" s="70"/>
      <c r="F963" s="66"/>
    </row>
    <row r="964" spans="2:6" ht="21" customHeight="1">
      <c r="B964" s="70"/>
      <c r="F964" s="66"/>
    </row>
    <row r="965" spans="2:6" ht="21" customHeight="1">
      <c r="B965" s="70"/>
      <c r="F965" s="66"/>
    </row>
    <row r="966" spans="2:6" ht="21" customHeight="1">
      <c r="B966" s="70"/>
      <c r="F966" s="66"/>
    </row>
    <row r="967" spans="2:6" ht="21" customHeight="1">
      <c r="B967" s="70"/>
      <c r="F967" s="66"/>
    </row>
    <row r="968" spans="2:6" ht="21" customHeight="1">
      <c r="B968" s="70"/>
      <c r="F968" s="66"/>
    </row>
    <row r="969" spans="2:6" ht="21" customHeight="1">
      <c r="B969" s="70"/>
      <c r="F969" s="66"/>
    </row>
    <row r="970" spans="2:6" ht="21" customHeight="1">
      <c r="B970" s="70"/>
      <c r="F970" s="66"/>
    </row>
    <row r="971" spans="2:6" ht="21" customHeight="1">
      <c r="B971" s="70"/>
      <c r="F971" s="66"/>
    </row>
    <row r="972" spans="2:6" ht="21" customHeight="1">
      <c r="B972" s="70"/>
      <c r="F972" s="66"/>
    </row>
    <row r="973" spans="2:6" ht="21" customHeight="1">
      <c r="B973" s="70"/>
      <c r="F973" s="66"/>
    </row>
    <row r="974" spans="2:6" ht="21" customHeight="1">
      <c r="B974" s="70"/>
      <c r="F974" s="66"/>
    </row>
    <row r="975" spans="2:6" ht="21" customHeight="1">
      <c r="B975" s="70"/>
      <c r="F975" s="66"/>
    </row>
    <row r="976" spans="2:6" ht="21" customHeight="1">
      <c r="B976" s="70"/>
      <c r="F976" s="66"/>
    </row>
    <row r="977" spans="2:6" ht="21" customHeight="1">
      <c r="B977" s="70"/>
      <c r="F977" s="66"/>
    </row>
    <row r="978" spans="2:6" ht="21" customHeight="1">
      <c r="B978" s="70"/>
      <c r="F978" s="66"/>
    </row>
    <row r="979" spans="2:6" ht="21" customHeight="1">
      <c r="B979" s="70"/>
      <c r="F979" s="66"/>
    </row>
    <row r="980" spans="2:6" ht="21" customHeight="1">
      <c r="B980" s="70"/>
      <c r="F980" s="66"/>
    </row>
    <row r="981" spans="2:6" ht="21" customHeight="1">
      <c r="B981" s="70"/>
      <c r="F981" s="66"/>
    </row>
    <row r="982" spans="2:6" ht="21" customHeight="1">
      <c r="B982" s="70"/>
      <c r="F982" s="66"/>
    </row>
    <row r="983" spans="2:6" ht="21" customHeight="1">
      <c r="B983" s="70"/>
      <c r="F983" s="66"/>
    </row>
    <row r="984" spans="2:6" ht="21" customHeight="1">
      <c r="B984" s="70"/>
      <c r="F984" s="66"/>
    </row>
    <row r="985" spans="2:6" ht="21" customHeight="1">
      <c r="B985" s="70"/>
      <c r="F985" s="66"/>
    </row>
    <row r="986" spans="2:6" ht="21" customHeight="1">
      <c r="B986" s="70"/>
      <c r="F986" s="66"/>
    </row>
    <row r="987" spans="2:6" ht="21" customHeight="1">
      <c r="B987" s="70"/>
      <c r="F987" s="66"/>
    </row>
    <row r="988" spans="2:6" ht="21" customHeight="1">
      <c r="B988" s="70"/>
      <c r="F988" s="66"/>
    </row>
    <row r="989" spans="2:6" ht="21" customHeight="1">
      <c r="B989" s="70"/>
      <c r="F989" s="66"/>
    </row>
    <row r="990" spans="2:6" ht="21" customHeight="1">
      <c r="B990" s="70"/>
      <c r="F990" s="66"/>
    </row>
    <row r="991" spans="2:6" ht="21" customHeight="1">
      <c r="B991" s="70"/>
      <c r="F991" s="66"/>
    </row>
    <row r="992" spans="2:6" ht="21" customHeight="1">
      <c r="B992" s="70"/>
      <c r="F992" s="66"/>
    </row>
    <row r="993" spans="2:6" ht="21" customHeight="1">
      <c r="B993" s="70"/>
      <c r="F993" s="66"/>
    </row>
    <row r="994" spans="2:6" ht="21" customHeight="1">
      <c r="B994" s="70"/>
      <c r="F994" s="66"/>
    </row>
    <row r="995" spans="2:6" ht="21" customHeight="1">
      <c r="B995" s="70"/>
      <c r="F995" s="66"/>
    </row>
    <row r="996" spans="2:6" ht="21" customHeight="1">
      <c r="B996" s="70"/>
      <c r="F996" s="66"/>
    </row>
    <row r="997" spans="2:6" ht="21" customHeight="1">
      <c r="B997" s="70"/>
      <c r="F997" s="66"/>
    </row>
    <row r="998" spans="2:6" ht="21" customHeight="1">
      <c r="B998" s="70"/>
      <c r="F998" s="66"/>
    </row>
    <row r="999" spans="2:6" ht="21" customHeight="1">
      <c r="B999" s="70"/>
      <c r="F999" s="66"/>
    </row>
    <row r="1000" spans="2:6" ht="21" customHeight="1">
      <c r="B1000" s="70"/>
      <c r="F1000" s="66"/>
    </row>
  </sheetData>
  <mergeCells count="3">
    <mergeCell ref="B24:C24"/>
    <mergeCell ref="D24:E24"/>
    <mergeCell ref="I2:N2"/>
  </mergeCells>
  <conditionalFormatting sqref="F3:F22">
    <cfRule type="expression" dxfId="45" priority="4">
      <formula>F3&lt;=SMALL($F$3:$F$22,8)</formula>
    </cfRule>
  </conditionalFormatting>
  <conditionalFormatting sqref="N4:N22">
    <cfRule type="expression" dxfId="44" priority="1">
      <formula>N4&lt;=SMALL($F$3:$F$22,8)</formula>
    </cfRule>
  </conditionalFormatting>
  <hyperlinks>
    <hyperlink ref="D24" r:id="rId1" xr:uid="{40BC4CD1-13D7-4DEF-BC99-C44B2B9AAC6E}"/>
  </hyperlinks>
  <pageMargins left="0.7" right="0.7" top="0.75" bottom="0.75" header="0" footer="0"/>
  <pageSetup orientation="portrait"/>
  <headerFooter>
    <oddFooter>&amp;C_x000D_&amp;1#&amp;"Calibri"&amp;10&amp;K000000 OFFICIAL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1E27-D5D2-4E3E-ABBE-73E85288EAAB}">
  <dimension ref="A1:Z995"/>
  <sheetViews>
    <sheetView workbookViewId="0">
      <selection activeCell="B1" sqref="B1"/>
    </sheetView>
  </sheetViews>
  <sheetFormatPr defaultColWidth="14.42578125" defaultRowHeight="15" customHeight="1"/>
  <cols>
    <col min="1" max="1" width="21.85546875" style="59" customWidth="1"/>
    <col min="2" max="6" width="18" style="59" customWidth="1"/>
    <col min="7" max="7" width="8.5703125" style="59" customWidth="1"/>
    <col min="8" max="8" width="11.28515625" style="59" customWidth="1"/>
    <col min="9" max="9" width="11.7109375" style="59" customWidth="1"/>
    <col min="10" max="26" width="18" style="59" customWidth="1"/>
    <col min="27" max="16384" width="14.42578125" style="59"/>
  </cols>
  <sheetData>
    <row r="1" spans="1:26" ht="21" customHeight="1" thickTop="1" thickBot="1">
      <c r="A1" s="130" t="s">
        <v>60</v>
      </c>
      <c r="B1" s="149">
        <f ca="1">AVERAGE(SMALL(INDIRECT("F3:F22"),1),SMALL(INDIRECT("F3:F22"),2),SMALL(INDIRECT("F3:F22"),3),SMALL(INDIRECT("F3:F22"),4),SMALL(INDIRECT("F3:F22"),5), SMALL(INDIRECT("F3:F22"),6),SMALL(INDIRECT("F3:F22"),7),SMALL(INDIRECT("F3:F22"),8))</f>
        <v>15.078311711419413</v>
      </c>
      <c r="C1" s="143" t="s">
        <v>61</v>
      </c>
      <c r="D1" s="144">
        <f>AVERAGE(C3:C22)</f>
        <v>92.9</v>
      </c>
      <c r="E1" s="143" t="s">
        <v>62</v>
      </c>
      <c r="F1" s="145">
        <f ca="1">ROUNDDOWN(AVERAGE(SMALL(INDIRECT("c3:c22"),1),SMALL(INDIRECT("c3:c22"),2),SMALL(INDIRECT("c3:c22"),3),SMALL(INDIRECT("c3:c22"),4),SMALL(INDIRECT("c3:c22"),5), SMALL(INDIRECT("c3:c22"),6),SMALL(INDIRECT("c3:c22"),7),SMALL(INDIRECT("c3:c22"),8)),1)</f>
        <v>88.3</v>
      </c>
      <c r="G1" s="58"/>
    </row>
    <row r="2" spans="1:26" ht="21" customHeight="1" thickTop="1" thickBot="1">
      <c r="A2" s="60" t="s">
        <v>19</v>
      </c>
      <c r="B2" s="60" t="s">
        <v>20</v>
      </c>
      <c r="C2" s="60" t="s">
        <v>63</v>
      </c>
      <c r="D2" s="60" t="s">
        <v>64</v>
      </c>
      <c r="E2" s="60" t="s">
        <v>65</v>
      </c>
      <c r="F2" s="61" t="s">
        <v>66</v>
      </c>
      <c r="G2" s="60"/>
      <c r="I2" s="283" t="s">
        <v>67</v>
      </c>
      <c r="J2" s="283"/>
      <c r="K2" s="283"/>
      <c r="L2" s="283"/>
      <c r="M2" s="283"/>
      <c r="N2" s="283"/>
    </row>
    <row r="3" spans="1:26" ht="21" customHeight="1">
      <c r="A3" s="232">
        <v>45671</v>
      </c>
      <c r="B3" s="233" t="s">
        <v>68</v>
      </c>
      <c r="C3" s="233">
        <v>86</v>
      </c>
      <c r="D3" s="233">
        <v>71</v>
      </c>
      <c r="E3" s="233">
        <v>130</v>
      </c>
      <c r="F3" s="75">
        <f t="shared" ref="F3:F22" si="0">(((C3-G3)-D3)*113)/E3</f>
        <v>13.038461538461538</v>
      </c>
      <c r="G3" s="58"/>
      <c r="I3" s="171">
        <v>44986</v>
      </c>
      <c r="J3" s="172" t="s">
        <v>69</v>
      </c>
      <c r="K3" s="172">
        <v>102</v>
      </c>
      <c r="L3" s="172">
        <v>70</v>
      </c>
      <c r="M3" s="172">
        <v>133</v>
      </c>
      <c r="N3" s="173">
        <v>27.18796992481203</v>
      </c>
    </row>
    <row r="4" spans="1:26" ht="21" customHeight="1">
      <c r="A4" s="64">
        <v>45709</v>
      </c>
      <c r="B4" s="62" t="s">
        <v>70</v>
      </c>
      <c r="C4" s="62">
        <v>98</v>
      </c>
      <c r="D4" s="62">
        <v>72</v>
      </c>
      <c r="E4" s="62">
        <v>139</v>
      </c>
      <c r="F4" s="76">
        <f t="shared" si="0"/>
        <v>21.136690647482013</v>
      </c>
      <c r="G4" s="58"/>
      <c r="I4" s="182">
        <v>45022</v>
      </c>
      <c r="J4" s="183" t="s">
        <v>71</v>
      </c>
      <c r="K4" s="183">
        <v>91</v>
      </c>
      <c r="L4" s="183">
        <v>69</v>
      </c>
      <c r="M4" s="183">
        <v>119</v>
      </c>
      <c r="N4" s="184">
        <v>20.890756302521009</v>
      </c>
    </row>
    <row r="5" spans="1:26" ht="21" customHeight="1">
      <c r="A5" s="64">
        <v>45730</v>
      </c>
      <c r="B5" s="62" t="s">
        <v>70</v>
      </c>
      <c r="C5" s="62">
        <v>96</v>
      </c>
      <c r="D5" s="62">
        <v>72</v>
      </c>
      <c r="E5" s="62">
        <v>139</v>
      </c>
      <c r="F5" s="76">
        <f t="shared" si="0"/>
        <v>19.510791366906474</v>
      </c>
      <c r="G5" s="58"/>
      <c r="H5" s="77"/>
      <c r="I5" s="203">
        <v>45036</v>
      </c>
      <c r="J5" s="204" t="s">
        <v>39</v>
      </c>
      <c r="K5" s="204">
        <v>91</v>
      </c>
      <c r="L5" s="204">
        <v>70</v>
      </c>
      <c r="M5" s="204">
        <v>130</v>
      </c>
      <c r="N5" s="205">
        <v>18.253846153846155</v>
      </c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21" customHeight="1">
      <c r="A6" s="64">
        <v>45755</v>
      </c>
      <c r="B6" s="62" t="s">
        <v>59</v>
      </c>
      <c r="C6" s="62">
        <v>87</v>
      </c>
      <c r="D6" s="62">
        <v>70</v>
      </c>
      <c r="E6" s="62">
        <v>129</v>
      </c>
      <c r="F6" s="76">
        <f t="shared" si="0"/>
        <v>14.891472868217054</v>
      </c>
      <c r="G6" s="58"/>
      <c r="H6" s="77"/>
      <c r="I6" s="182">
        <v>45093</v>
      </c>
      <c r="J6" s="183" t="s">
        <v>72</v>
      </c>
      <c r="K6" s="183">
        <v>90</v>
      </c>
      <c r="L6" s="183">
        <v>70</v>
      </c>
      <c r="M6" s="183">
        <v>118</v>
      </c>
      <c r="N6" s="184">
        <v>19.152542372881356</v>
      </c>
    </row>
    <row r="7" spans="1:26" ht="21" customHeight="1">
      <c r="A7" s="64">
        <v>45792</v>
      </c>
      <c r="B7" s="62" t="s">
        <v>73</v>
      </c>
      <c r="C7" s="62">
        <v>90</v>
      </c>
      <c r="D7" s="62">
        <v>70</v>
      </c>
      <c r="E7" s="62">
        <v>126</v>
      </c>
      <c r="F7" s="76">
        <f t="shared" si="0"/>
        <v>17.936507936507937</v>
      </c>
      <c r="G7" s="58"/>
      <c r="H7" s="77"/>
      <c r="I7" s="203">
        <v>45141</v>
      </c>
      <c r="J7" s="204" t="s">
        <v>74</v>
      </c>
      <c r="K7" s="204">
        <v>96</v>
      </c>
      <c r="L7" s="204">
        <v>72</v>
      </c>
      <c r="M7" s="204">
        <v>124</v>
      </c>
      <c r="N7" s="205">
        <v>21.870967741935484</v>
      </c>
    </row>
    <row r="8" spans="1:26" ht="21" customHeight="1">
      <c r="A8" s="64">
        <v>45835</v>
      </c>
      <c r="B8" s="62" t="s">
        <v>75</v>
      </c>
      <c r="C8" s="62">
        <v>97</v>
      </c>
      <c r="D8" s="62">
        <v>71</v>
      </c>
      <c r="E8" s="62">
        <v>127</v>
      </c>
      <c r="F8" s="76">
        <f t="shared" si="0"/>
        <v>23.133858267716537</v>
      </c>
      <c r="G8" s="58"/>
      <c r="I8" s="182">
        <v>45170</v>
      </c>
      <c r="J8" s="183" t="s">
        <v>69</v>
      </c>
      <c r="K8" s="183">
        <v>95</v>
      </c>
      <c r="L8" s="183">
        <v>70</v>
      </c>
      <c r="M8" s="183">
        <v>133</v>
      </c>
      <c r="N8" s="184">
        <v>21.2406015037594</v>
      </c>
    </row>
    <row r="9" spans="1:26" ht="21" customHeight="1">
      <c r="A9" s="64">
        <v>45848</v>
      </c>
      <c r="B9" s="62" t="s">
        <v>29</v>
      </c>
      <c r="C9" s="62">
        <v>98</v>
      </c>
      <c r="D9" s="62">
        <v>72</v>
      </c>
      <c r="E9" s="62">
        <v>135</v>
      </c>
      <c r="F9" s="76">
        <f t="shared" si="0"/>
        <v>21.762962962962963</v>
      </c>
      <c r="G9" s="58"/>
      <c r="H9" s="77"/>
      <c r="I9" s="203">
        <v>45247</v>
      </c>
      <c r="J9" s="204" t="s">
        <v>76</v>
      </c>
      <c r="K9" s="204">
        <v>87</v>
      </c>
      <c r="L9" s="204">
        <v>69</v>
      </c>
      <c r="M9" s="204">
        <v>119</v>
      </c>
      <c r="N9" s="205">
        <v>17.092436974789916</v>
      </c>
    </row>
    <row r="10" spans="1:26" ht="21" customHeight="1">
      <c r="A10" s="64">
        <v>45897</v>
      </c>
      <c r="B10" s="62" t="s">
        <v>74</v>
      </c>
      <c r="C10" s="62">
        <v>96</v>
      </c>
      <c r="D10" s="62">
        <v>72</v>
      </c>
      <c r="E10" s="62">
        <v>124</v>
      </c>
      <c r="F10" s="76">
        <f t="shared" si="0"/>
        <v>21.870967741935484</v>
      </c>
      <c r="G10" s="58"/>
      <c r="H10" s="77"/>
      <c r="I10" s="182">
        <v>45281</v>
      </c>
      <c r="J10" s="183" t="s">
        <v>77</v>
      </c>
      <c r="K10" s="183">
        <v>84</v>
      </c>
      <c r="L10" s="183">
        <v>70</v>
      </c>
      <c r="M10" s="183">
        <v>136</v>
      </c>
      <c r="N10" s="184">
        <v>11.632352941176471</v>
      </c>
    </row>
    <row r="11" spans="1:26" ht="21" customHeight="1">
      <c r="A11" s="64">
        <v>45926</v>
      </c>
      <c r="B11" s="62" t="s">
        <v>78</v>
      </c>
      <c r="C11" s="62">
        <v>88</v>
      </c>
      <c r="D11" s="62">
        <v>72</v>
      </c>
      <c r="E11" s="62">
        <v>125</v>
      </c>
      <c r="F11" s="76">
        <f t="shared" si="0"/>
        <v>14.464</v>
      </c>
      <c r="G11" s="58"/>
      <c r="H11" s="77"/>
      <c r="I11" s="203">
        <v>45321</v>
      </c>
      <c r="J11" s="204" t="s">
        <v>34</v>
      </c>
      <c r="K11" s="204">
        <v>92</v>
      </c>
      <c r="L11" s="204">
        <v>70</v>
      </c>
      <c r="M11" s="204">
        <v>127</v>
      </c>
      <c r="N11" s="205">
        <v>19.5748031496063</v>
      </c>
    </row>
    <row r="12" spans="1:26" ht="21" customHeight="1">
      <c r="A12" s="64">
        <v>46049</v>
      </c>
      <c r="B12" s="62" t="s">
        <v>29</v>
      </c>
      <c r="C12" s="62">
        <v>92</v>
      </c>
      <c r="D12" s="62">
        <v>73</v>
      </c>
      <c r="E12" s="62">
        <v>135</v>
      </c>
      <c r="F12" s="76">
        <f t="shared" si="0"/>
        <v>15.903703703703703</v>
      </c>
      <c r="G12" s="58"/>
      <c r="I12" s="182">
        <v>45345</v>
      </c>
      <c r="J12" s="183" t="s">
        <v>29</v>
      </c>
      <c r="K12" s="183">
        <v>94</v>
      </c>
      <c r="L12" s="183">
        <v>72</v>
      </c>
      <c r="M12" s="183">
        <v>135</v>
      </c>
      <c r="N12" s="184">
        <v>18.414814814814815</v>
      </c>
    </row>
    <row r="13" spans="1:26" ht="21" customHeight="1">
      <c r="A13" s="64">
        <v>46150</v>
      </c>
      <c r="B13" s="62" t="s">
        <v>34</v>
      </c>
      <c r="C13" s="62">
        <v>91</v>
      </c>
      <c r="D13" s="62">
        <v>69</v>
      </c>
      <c r="E13" s="62">
        <v>128</v>
      </c>
      <c r="F13" s="76">
        <f t="shared" si="0"/>
        <v>19.421875</v>
      </c>
      <c r="G13" s="58"/>
      <c r="I13" s="203">
        <v>45370</v>
      </c>
      <c r="J13" s="204" t="s">
        <v>73</v>
      </c>
      <c r="K13" s="204">
        <v>94</v>
      </c>
      <c r="L13" s="204">
        <v>70</v>
      </c>
      <c r="M13" s="204">
        <v>126</v>
      </c>
      <c r="N13" s="205">
        <v>21.523809523809526</v>
      </c>
    </row>
    <row r="14" spans="1:26" ht="21" customHeight="1">
      <c r="A14" s="223">
        <v>46174</v>
      </c>
      <c r="B14" s="60" t="s">
        <v>68</v>
      </c>
      <c r="C14" s="60">
        <v>103</v>
      </c>
      <c r="D14" s="60">
        <v>72</v>
      </c>
      <c r="E14" s="60">
        <v>128</v>
      </c>
      <c r="F14" s="76">
        <f t="shared" si="0"/>
        <v>27.3671875</v>
      </c>
      <c r="G14" s="58"/>
      <c r="H14" s="77"/>
      <c r="I14" s="182">
        <v>45400</v>
      </c>
      <c r="J14" s="183" t="s">
        <v>70</v>
      </c>
      <c r="K14" s="183">
        <v>94</v>
      </c>
      <c r="L14" s="183">
        <v>72</v>
      </c>
      <c r="M14" s="183">
        <v>139</v>
      </c>
      <c r="N14" s="184">
        <v>17.884892086330936</v>
      </c>
    </row>
    <row r="15" spans="1:26" ht="21" customHeight="1">
      <c r="A15" s="64">
        <v>45428</v>
      </c>
      <c r="B15" s="62" t="s">
        <v>74</v>
      </c>
      <c r="C15" s="62">
        <v>87</v>
      </c>
      <c r="D15" s="62">
        <v>72</v>
      </c>
      <c r="E15" s="62">
        <v>124</v>
      </c>
      <c r="F15" s="76">
        <f t="shared" si="0"/>
        <v>13.669354838709678</v>
      </c>
      <c r="G15" s="58"/>
      <c r="H15" s="63"/>
      <c r="I15" s="203">
        <v>45428</v>
      </c>
      <c r="J15" s="204" t="s">
        <v>74</v>
      </c>
      <c r="K15" s="204">
        <v>87</v>
      </c>
      <c r="L15" s="204">
        <v>72</v>
      </c>
      <c r="M15" s="204">
        <v>124</v>
      </c>
      <c r="N15" s="205">
        <v>13.669354838709678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21" customHeight="1">
      <c r="A16" s="64">
        <v>45471</v>
      </c>
      <c r="B16" s="62" t="s">
        <v>59</v>
      </c>
      <c r="C16" s="62">
        <v>96</v>
      </c>
      <c r="D16" s="62">
        <v>70</v>
      </c>
      <c r="E16" s="62">
        <v>129</v>
      </c>
      <c r="F16" s="76">
        <f t="shared" si="0"/>
        <v>22.775193798449614</v>
      </c>
      <c r="G16" s="58"/>
      <c r="I16" s="182">
        <v>45471</v>
      </c>
      <c r="J16" s="183" t="s">
        <v>59</v>
      </c>
      <c r="K16" s="183">
        <v>96</v>
      </c>
      <c r="L16" s="183">
        <v>70</v>
      </c>
      <c r="M16" s="183">
        <v>129</v>
      </c>
      <c r="N16" s="184">
        <v>22.775193798449614</v>
      </c>
    </row>
    <row r="17" spans="1:14" ht="21" customHeight="1">
      <c r="A17" s="64">
        <v>45492</v>
      </c>
      <c r="B17" s="62" t="s">
        <v>76</v>
      </c>
      <c r="C17" s="62">
        <v>92</v>
      </c>
      <c r="D17" s="62">
        <v>71</v>
      </c>
      <c r="E17" s="62">
        <v>123</v>
      </c>
      <c r="F17" s="76">
        <f t="shared" si="0"/>
        <v>19.292682926829269</v>
      </c>
      <c r="G17" s="58"/>
      <c r="I17" s="203">
        <v>45492</v>
      </c>
      <c r="J17" s="204" t="s">
        <v>76</v>
      </c>
      <c r="K17" s="204">
        <v>92</v>
      </c>
      <c r="L17" s="204">
        <v>71</v>
      </c>
      <c r="M17" s="204">
        <v>123</v>
      </c>
      <c r="N17" s="205">
        <v>19.292682926829269</v>
      </c>
    </row>
    <row r="18" spans="1:14" ht="21" customHeight="1">
      <c r="A18" s="64">
        <v>45506</v>
      </c>
      <c r="B18" s="62" t="s">
        <v>75</v>
      </c>
      <c r="C18" s="62">
        <v>96</v>
      </c>
      <c r="D18" s="62">
        <v>71</v>
      </c>
      <c r="E18" s="62">
        <v>127</v>
      </c>
      <c r="F18" s="76">
        <f t="shared" si="0"/>
        <v>22.244094488188978</v>
      </c>
      <c r="G18" s="58"/>
      <c r="I18" s="182">
        <v>45506</v>
      </c>
      <c r="J18" s="183" t="s">
        <v>75</v>
      </c>
      <c r="K18" s="183">
        <v>96</v>
      </c>
      <c r="L18" s="183">
        <v>71</v>
      </c>
      <c r="M18" s="183">
        <v>127</v>
      </c>
      <c r="N18" s="184">
        <v>22.244094488188978</v>
      </c>
    </row>
    <row r="19" spans="1:14" ht="21" customHeight="1">
      <c r="A19" s="64">
        <v>45555</v>
      </c>
      <c r="B19" s="62" t="s">
        <v>68</v>
      </c>
      <c r="C19" s="62">
        <v>95</v>
      </c>
      <c r="D19" s="62">
        <v>71</v>
      </c>
      <c r="E19" s="62">
        <v>130</v>
      </c>
      <c r="F19" s="76">
        <f t="shared" si="0"/>
        <v>20.861538461538462</v>
      </c>
      <c r="G19" s="58"/>
      <c r="I19" s="203">
        <v>45555</v>
      </c>
      <c r="J19" s="204" t="s">
        <v>68</v>
      </c>
      <c r="K19" s="204">
        <v>95</v>
      </c>
      <c r="L19" s="204">
        <v>71</v>
      </c>
      <c r="M19" s="204">
        <v>130</v>
      </c>
      <c r="N19" s="205">
        <v>20.861538461538462</v>
      </c>
    </row>
    <row r="20" spans="1:14" ht="21" customHeight="1">
      <c r="A20" s="64">
        <v>45580</v>
      </c>
      <c r="B20" s="62" t="s">
        <v>70</v>
      </c>
      <c r="C20" s="62">
        <v>92</v>
      </c>
      <c r="D20" s="62">
        <v>72</v>
      </c>
      <c r="E20" s="62">
        <v>139</v>
      </c>
      <c r="F20" s="76">
        <f t="shared" si="0"/>
        <v>16.258992805755394</v>
      </c>
      <c r="G20" s="58"/>
      <c r="I20" s="182">
        <v>45580</v>
      </c>
      <c r="J20" s="183" t="s">
        <v>70</v>
      </c>
      <c r="K20" s="183">
        <v>92</v>
      </c>
      <c r="L20" s="183">
        <v>72</v>
      </c>
      <c r="M20" s="183">
        <v>139</v>
      </c>
      <c r="N20" s="184">
        <v>16.258992805755394</v>
      </c>
    </row>
    <row r="21" spans="1:14" ht="21" customHeight="1">
      <c r="A21" s="64">
        <v>45611</v>
      </c>
      <c r="B21" s="62" t="s">
        <v>76</v>
      </c>
      <c r="C21" s="62">
        <v>91</v>
      </c>
      <c r="D21" s="62">
        <v>71</v>
      </c>
      <c r="E21" s="62">
        <v>123</v>
      </c>
      <c r="F21" s="76">
        <f t="shared" si="0"/>
        <v>18.373983739837399</v>
      </c>
      <c r="G21" s="58"/>
      <c r="I21" s="203">
        <v>45611</v>
      </c>
      <c r="J21" s="204" t="s">
        <v>76</v>
      </c>
      <c r="K21" s="204">
        <v>91</v>
      </c>
      <c r="L21" s="204">
        <v>71</v>
      </c>
      <c r="M21" s="204">
        <v>123</v>
      </c>
      <c r="N21" s="205">
        <v>18.373983739837399</v>
      </c>
    </row>
    <row r="22" spans="1:14" ht="21" customHeight="1" thickBot="1">
      <c r="A22" s="64">
        <v>45631</v>
      </c>
      <c r="B22" s="62" t="s">
        <v>79</v>
      </c>
      <c r="C22" s="62">
        <v>87</v>
      </c>
      <c r="D22" s="62">
        <v>71</v>
      </c>
      <c r="E22" s="62">
        <v>125</v>
      </c>
      <c r="F22" s="76">
        <f t="shared" si="0"/>
        <v>14.464</v>
      </c>
      <c r="G22" s="58"/>
      <c r="I22" s="220">
        <v>45631</v>
      </c>
      <c r="J22" s="221" t="s">
        <v>79</v>
      </c>
      <c r="K22" s="221">
        <v>87</v>
      </c>
      <c r="L22" s="221">
        <v>71</v>
      </c>
      <c r="M22" s="221">
        <v>125</v>
      </c>
      <c r="N22" s="222">
        <v>14.464</v>
      </c>
    </row>
    <row r="23" spans="1:14" ht="21" customHeight="1">
      <c r="A23" s="64"/>
      <c r="B23" s="62"/>
      <c r="C23" s="62"/>
      <c r="D23" s="62"/>
      <c r="E23" s="62"/>
      <c r="F23" s="65"/>
      <c r="G23" s="58"/>
    </row>
    <row r="24" spans="1:14" ht="21" customHeight="1">
      <c r="A24" s="64"/>
      <c r="B24" s="62"/>
      <c r="C24" s="62"/>
      <c r="D24" s="62"/>
      <c r="E24" s="62"/>
      <c r="F24" s="65"/>
      <c r="G24" s="58"/>
    </row>
    <row r="25" spans="1:14" ht="21" customHeight="1">
      <c r="A25" s="64"/>
      <c r="B25" s="62"/>
      <c r="C25" s="62"/>
      <c r="D25" s="62"/>
      <c r="E25" s="62"/>
      <c r="F25" s="65"/>
      <c r="G25" s="58"/>
    </row>
    <row r="26" spans="1:14" ht="21" customHeight="1">
      <c r="A26" s="281" t="s">
        <v>80</v>
      </c>
      <c r="B26" s="286"/>
      <c r="C26" s="282" t="s">
        <v>81</v>
      </c>
      <c r="D26" s="282"/>
      <c r="E26" s="282"/>
      <c r="F26" s="66"/>
      <c r="G26" s="67"/>
    </row>
    <row r="27" spans="1:14" ht="21" customHeight="1">
      <c r="A27" s="64"/>
      <c r="B27" s="62"/>
      <c r="C27" s="62"/>
      <c r="D27" s="62"/>
      <c r="E27" s="62"/>
      <c r="F27" s="65"/>
      <c r="G27" s="58"/>
    </row>
    <row r="28" spans="1:14" ht="21" customHeight="1">
      <c r="A28" s="64"/>
      <c r="B28" s="62"/>
      <c r="C28" s="62"/>
      <c r="D28" s="62"/>
      <c r="E28" s="62"/>
      <c r="F28" s="65"/>
      <c r="G28" s="58"/>
    </row>
    <row r="29" spans="1:14" ht="21" customHeight="1">
      <c r="A29" s="58"/>
      <c r="B29" s="58"/>
      <c r="C29" s="58"/>
      <c r="D29" s="58"/>
      <c r="E29" s="58"/>
      <c r="F29" s="68"/>
      <c r="G29" s="58"/>
    </row>
    <row r="30" spans="1:14" ht="21" customHeight="1">
      <c r="A30" s="58"/>
      <c r="B30" s="58"/>
      <c r="C30" s="58"/>
      <c r="D30" s="58"/>
      <c r="E30" s="58"/>
      <c r="F30" s="68"/>
      <c r="G30" s="58"/>
    </row>
    <row r="31" spans="1:14" ht="21" customHeight="1">
      <c r="A31" s="58"/>
      <c r="B31" s="58"/>
      <c r="C31" s="58"/>
      <c r="D31" s="58"/>
      <c r="E31" s="58"/>
      <c r="F31" s="69"/>
      <c r="G31" s="58"/>
    </row>
    <row r="32" spans="1:14" ht="21" customHeight="1">
      <c r="A32" s="58"/>
      <c r="B32" s="58"/>
      <c r="C32" s="58"/>
      <c r="D32" s="58"/>
      <c r="E32" s="58"/>
      <c r="F32" s="69"/>
      <c r="G32" s="58"/>
    </row>
    <row r="33" spans="1:7" ht="21" customHeight="1">
      <c r="A33" s="58"/>
      <c r="B33" s="58"/>
      <c r="C33" s="58"/>
      <c r="D33" s="58"/>
      <c r="E33" s="58"/>
      <c r="F33" s="69"/>
      <c r="G33" s="58"/>
    </row>
    <row r="34" spans="1:7" ht="21" customHeight="1">
      <c r="A34" s="58"/>
      <c r="B34" s="58"/>
      <c r="C34" s="58"/>
      <c r="D34" s="58"/>
      <c r="E34" s="58"/>
      <c r="F34" s="69"/>
      <c r="G34" s="58"/>
    </row>
    <row r="35" spans="1:7" ht="21" customHeight="1">
      <c r="A35" s="58"/>
      <c r="B35" s="58"/>
      <c r="C35" s="58"/>
      <c r="D35" s="58"/>
      <c r="E35" s="58"/>
      <c r="F35" s="69"/>
      <c r="G35" s="58"/>
    </row>
    <row r="36" spans="1:7" ht="21" customHeight="1">
      <c r="A36" s="58"/>
      <c r="B36" s="58"/>
      <c r="C36" s="58"/>
      <c r="D36" s="58"/>
      <c r="E36" s="58"/>
      <c r="F36" s="69"/>
      <c r="G36" s="58"/>
    </row>
    <row r="37" spans="1:7" ht="21" customHeight="1">
      <c r="A37" s="58"/>
      <c r="B37" s="58"/>
      <c r="C37" s="58"/>
      <c r="D37" s="58"/>
      <c r="E37" s="58"/>
      <c r="F37" s="69"/>
      <c r="G37" s="58"/>
    </row>
    <row r="38" spans="1:7" ht="21" customHeight="1">
      <c r="A38" s="58"/>
      <c r="B38" s="58"/>
      <c r="C38" s="58"/>
      <c r="D38" s="58"/>
      <c r="E38" s="58"/>
      <c r="F38" s="69"/>
      <c r="G38" s="58"/>
    </row>
    <row r="39" spans="1:7" ht="21" customHeight="1">
      <c r="A39" s="58"/>
      <c r="B39" s="58"/>
      <c r="C39" s="58"/>
      <c r="D39" s="58"/>
      <c r="E39" s="58"/>
      <c r="F39" s="69"/>
      <c r="G39" s="58"/>
    </row>
    <row r="40" spans="1:7" ht="21" customHeight="1">
      <c r="A40" s="58"/>
      <c r="B40" s="58"/>
      <c r="C40" s="58"/>
      <c r="D40" s="58"/>
      <c r="E40" s="58"/>
      <c r="F40" s="69"/>
      <c r="G40" s="58"/>
    </row>
    <row r="41" spans="1:7" ht="21" customHeight="1">
      <c r="A41" s="58"/>
      <c r="B41" s="58"/>
      <c r="C41" s="58"/>
      <c r="D41" s="58"/>
      <c r="E41" s="58"/>
      <c r="F41" s="69"/>
      <c r="G41" s="58"/>
    </row>
    <row r="42" spans="1:7" ht="21" customHeight="1">
      <c r="A42" s="58"/>
      <c r="B42" s="58"/>
      <c r="C42" s="58"/>
      <c r="D42" s="58"/>
      <c r="E42" s="58"/>
      <c r="F42" s="69"/>
      <c r="G42" s="58"/>
    </row>
    <row r="43" spans="1:7" ht="21" customHeight="1">
      <c r="A43" s="58"/>
      <c r="B43" s="58"/>
      <c r="C43" s="58"/>
      <c r="D43" s="58"/>
      <c r="E43" s="58"/>
      <c r="F43" s="69"/>
      <c r="G43" s="58"/>
    </row>
    <row r="44" spans="1:7" ht="21" customHeight="1">
      <c r="A44" s="58"/>
      <c r="B44" s="58"/>
      <c r="C44" s="58"/>
      <c r="D44" s="58"/>
      <c r="E44" s="58"/>
      <c r="F44" s="69"/>
      <c r="G44" s="58"/>
    </row>
    <row r="45" spans="1:7" ht="21" customHeight="1">
      <c r="A45" s="58"/>
      <c r="B45" s="58"/>
      <c r="C45" s="58"/>
      <c r="D45" s="58"/>
      <c r="E45" s="58"/>
      <c r="F45" s="69"/>
      <c r="G45" s="58"/>
    </row>
    <row r="46" spans="1:7" ht="21" customHeight="1">
      <c r="A46" s="58"/>
      <c r="B46" s="58"/>
      <c r="C46" s="58"/>
      <c r="D46" s="58"/>
      <c r="E46" s="58"/>
      <c r="F46" s="69"/>
      <c r="G46" s="58"/>
    </row>
    <row r="47" spans="1:7" ht="21" customHeight="1">
      <c r="A47" s="58"/>
      <c r="B47" s="58"/>
      <c r="C47" s="58"/>
      <c r="D47" s="58"/>
      <c r="E47" s="58"/>
      <c r="F47" s="69"/>
      <c r="G47" s="58"/>
    </row>
    <row r="48" spans="1:7" ht="21" customHeight="1">
      <c r="A48" s="58"/>
      <c r="B48" s="58"/>
      <c r="C48" s="58"/>
      <c r="D48" s="58"/>
      <c r="E48" s="58"/>
      <c r="F48" s="69"/>
      <c r="G48" s="58"/>
    </row>
    <row r="49" spans="1:7" ht="21" customHeight="1">
      <c r="A49" s="58"/>
      <c r="B49" s="58"/>
      <c r="C49" s="58"/>
      <c r="D49" s="58"/>
      <c r="E49" s="58"/>
      <c r="F49" s="69"/>
      <c r="G49" s="58"/>
    </row>
    <row r="50" spans="1:7" ht="21" customHeight="1">
      <c r="A50" s="58"/>
      <c r="B50" s="58"/>
      <c r="C50" s="58"/>
      <c r="D50" s="58"/>
      <c r="E50" s="58"/>
      <c r="F50" s="69"/>
      <c r="G50" s="58"/>
    </row>
    <row r="51" spans="1:7" ht="21" customHeight="1">
      <c r="A51" s="58"/>
      <c r="B51" s="58"/>
      <c r="C51" s="58"/>
      <c r="D51" s="58"/>
      <c r="E51" s="58"/>
      <c r="F51" s="69"/>
      <c r="G51" s="58"/>
    </row>
    <row r="52" spans="1:7" ht="21" customHeight="1">
      <c r="A52" s="58"/>
      <c r="B52" s="58"/>
      <c r="C52" s="58"/>
      <c r="D52" s="58"/>
      <c r="E52" s="58"/>
      <c r="F52" s="69"/>
      <c r="G52" s="58"/>
    </row>
    <row r="53" spans="1:7" ht="21" customHeight="1">
      <c r="A53" s="58"/>
      <c r="B53" s="58"/>
      <c r="C53" s="58"/>
      <c r="D53" s="58"/>
      <c r="E53" s="58"/>
      <c r="F53" s="69"/>
      <c r="G53" s="58"/>
    </row>
    <row r="54" spans="1:7" ht="21" customHeight="1">
      <c r="A54" s="58"/>
      <c r="B54" s="58"/>
      <c r="C54" s="58"/>
      <c r="D54" s="58"/>
      <c r="E54" s="58"/>
      <c r="F54" s="69"/>
      <c r="G54" s="58"/>
    </row>
    <row r="55" spans="1:7" ht="21" customHeight="1">
      <c r="A55" s="58"/>
      <c r="B55" s="58"/>
      <c r="C55" s="58"/>
      <c r="D55" s="58"/>
      <c r="E55" s="58"/>
      <c r="F55" s="69"/>
      <c r="G55" s="58"/>
    </row>
    <row r="56" spans="1:7" ht="21" customHeight="1">
      <c r="A56" s="58"/>
      <c r="B56" s="58"/>
      <c r="C56" s="58"/>
      <c r="D56" s="58"/>
      <c r="E56" s="58"/>
      <c r="F56" s="69"/>
      <c r="G56" s="58"/>
    </row>
    <row r="57" spans="1:7" ht="21" customHeight="1">
      <c r="A57" s="58"/>
      <c r="B57" s="58"/>
      <c r="C57" s="58"/>
      <c r="D57" s="58"/>
      <c r="E57" s="58"/>
      <c r="F57" s="69"/>
      <c r="G57" s="58"/>
    </row>
    <row r="58" spans="1:7" ht="21" customHeight="1">
      <c r="A58" s="58"/>
      <c r="B58" s="58"/>
      <c r="C58" s="58"/>
      <c r="D58" s="58"/>
      <c r="E58" s="58"/>
      <c r="F58" s="69"/>
      <c r="G58" s="58"/>
    </row>
    <row r="59" spans="1:7" ht="21" customHeight="1">
      <c r="A59" s="58"/>
      <c r="B59" s="58"/>
      <c r="C59" s="58"/>
      <c r="D59" s="58"/>
      <c r="E59" s="58"/>
      <c r="F59" s="69"/>
      <c r="G59" s="58"/>
    </row>
    <row r="60" spans="1:7" ht="21" customHeight="1">
      <c r="A60" s="58"/>
      <c r="B60" s="58"/>
      <c r="C60" s="58"/>
      <c r="D60" s="58"/>
      <c r="E60" s="58"/>
      <c r="F60" s="69"/>
      <c r="G60" s="58"/>
    </row>
    <row r="61" spans="1:7" ht="21" customHeight="1">
      <c r="A61" s="58"/>
      <c r="B61" s="58"/>
      <c r="C61" s="58"/>
      <c r="D61" s="58"/>
      <c r="E61" s="58"/>
      <c r="F61" s="69"/>
      <c r="G61" s="58"/>
    </row>
    <row r="62" spans="1:7" ht="21" customHeight="1">
      <c r="A62" s="58"/>
      <c r="B62" s="58"/>
      <c r="C62" s="58"/>
      <c r="D62" s="58"/>
      <c r="E62" s="58"/>
      <c r="F62" s="69"/>
      <c r="G62" s="58"/>
    </row>
    <row r="63" spans="1:7" ht="21" customHeight="1">
      <c r="A63" s="58"/>
      <c r="B63" s="58"/>
      <c r="C63" s="58"/>
      <c r="D63" s="58"/>
      <c r="E63" s="58"/>
      <c r="F63" s="69"/>
      <c r="G63" s="58"/>
    </row>
    <row r="64" spans="1:7" ht="21" customHeight="1">
      <c r="A64" s="58"/>
      <c r="B64" s="58"/>
      <c r="C64" s="58"/>
      <c r="D64" s="58"/>
      <c r="E64" s="58"/>
      <c r="F64" s="69"/>
      <c r="G64" s="58"/>
    </row>
    <row r="65" spans="1:7" ht="21" customHeight="1">
      <c r="A65" s="58"/>
      <c r="B65" s="58"/>
      <c r="C65" s="58"/>
      <c r="D65" s="58"/>
      <c r="E65" s="58"/>
      <c r="F65" s="69"/>
      <c r="G65" s="58"/>
    </row>
    <row r="66" spans="1:7" ht="21" customHeight="1">
      <c r="A66" s="58"/>
      <c r="B66" s="58"/>
      <c r="C66" s="58"/>
      <c r="D66" s="58"/>
      <c r="E66" s="58"/>
      <c r="F66" s="69"/>
      <c r="G66" s="58"/>
    </row>
    <row r="67" spans="1:7" ht="21" customHeight="1">
      <c r="A67" s="58"/>
      <c r="B67" s="58"/>
      <c r="C67" s="58"/>
      <c r="D67" s="58"/>
      <c r="E67" s="58"/>
      <c r="F67" s="69"/>
      <c r="G67" s="58"/>
    </row>
    <row r="68" spans="1:7" ht="21" customHeight="1">
      <c r="A68" s="58"/>
      <c r="B68" s="58"/>
      <c r="C68" s="58"/>
      <c r="D68" s="58"/>
      <c r="E68" s="58"/>
      <c r="F68" s="69"/>
      <c r="G68" s="58"/>
    </row>
    <row r="69" spans="1:7" ht="21" customHeight="1">
      <c r="A69" s="58"/>
      <c r="B69" s="58"/>
      <c r="C69" s="58"/>
      <c r="D69" s="58"/>
      <c r="E69" s="58"/>
      <c r="F69" s="69"/>
      <c r="G69" s="58"/>
    </row>
    <row r="70" spans="1:7" ht="21" customHeight="1">
      <c r="A70" s="58"/>
      <c r="B70" s="58"/>
      <c r="C70" s="58"/>
      <c r="D70" s="58"/>
      <c r="E70" s="58"/>
      <c r="F70" s="69"/>
      <c r="G70" s="58"/>
    </row>
    <row r="71" spans="1:7" ht="21" customHeight="1">
      <c r="A71" s="58"/>
      <c r="B71" s="58"/>
      <c r="C71" s="58"/>
      <c r="D71" s="58"/>
      <c r="E71" s="58"/>
      <c r="F71" s="69"/>
      <c r="G71" s="58"/>
    </row>
    <row r="72" spans="1:7" ht="21" customHeight="1">
      <c r="A72" s="58"/>
      <c r="B72" s="58"/>
      <c r="C72" s="58"/>
      <c r="D72" s="58"/>
      <c r="E72" s="58"/>
      <c r="F72" s="69"/>
      <c r="G72" s="58"/>
    </row>
    <row r="73" spans="1:7" ht="21" customHeight="1">
      <c r="A73" s="58"/>
      <c r="B73" s="58"/>
      <c r="C73" s="58"/>
      <c r="D73" s="58"/>
      <c r="E73" s="58"/>
      <c r="F73" s="69"/>
      <c r="G73" s="58"/>
    </row>
    <row r="74" spans="1:7" ht="21" customHeight="1">
      <c r="A74" s="58"/>
      <c r="B74" s="58"/>
      <c r="C74" s="58"/>
      <c r="D74" s="58"/>
      <c r="E74" s="58"/>
      <c r="F74" s="69"/>
      <c r="G74" s="58"/>
    </row>
    <row r="75" spans="1:7" ht="21" customHeight="1">
      <c r="A75" s="58"/>
      <c r="B75" s="58"/>
      <c r="C75" s="58"/>
      <c r="D75" s="58"/>
      <c r="E75" s="58"/>
      <c r="F75" s="69"/>
      <c r="G75" s="58"/>
    </row>
    <row r="76" spans="1:7" ht="21" customHeight="1">
      <c r="A76" s="58"/>
      <c r="B76" s="58"/>
      <c r="C76" s="58"/>
      <c r="D76" s="58"/>
      <c r="E76" s="58"/>
      <c r="F76" s="69"/>
      <c r="G76" s="58"/>
    </row>
    <row r="77" spans="1:7" ht="21" customHeight="1">
      <c r="A77" s="58"/>
      <c r="B77" s="58"/>
      <c r="C77" s="58"/>
      <c r="D77" s="58"/>
      <c r="E77" s="58"/>
      <c r="F77" s="69"/>
      <c r="G77" s="58"/>
    </row>
    <row r="78" spans="1:7" ht="21" customHeight="1">
      <c r="A78" s="58"/>
      <c r="B78" s="58"/>
      <c r="C78" s="58"/>
      <c r="D78" s="58"/>
      <c r="E78" s="58"/>
      <c r="F78" s="69"/>
      <c r="G78" s="58"/>
    </row>
    <row r="79" spans="1:7" ht="21" customHeight="1">
      <c r="A79" s="58"/>
      <c r="B79" s="58"/>
      <c r="C79" s="58"/>
      <c r="D79" s="58"/>
      <c r="E79" s="58"/>
      <c r="F79" s="69"/>
      <c r="G79" s="58"/>
    </row>
    <row r="80" spans="1:7" ht="21" customHeight="1">
      <c r="A80" s="58"/>
      <c r="B80" s="58"/>
      <c r="C80" s="58"/>
      <c r="D80" s="58"/>
      <c r="E80" s="58"/>
      <c r="F80" s="69"/>
      <c r="G80" s="58"/>
    </row>
    <row r="81" spans="1:7" ht="21" customHeight="1">
      <c r="A81" s="58"/>
      <c r="B81" s="58"/>
      <c r="C81" s="58"/>
      <c r="D81" s="58"/>
      <c r="E81" s="58"/>
      <c r="F81" s="69"/>
      <c r="G81" s="58"/>
    </row>
    <row r="82" spans="1:7" ht="21" customHeight="1">
      <c r="A82" s="58"/>
      <c r="B82" s="58"/>
      <c r="C82" s="58"/>
      <c r="D82" s="58"/>
      <c r="E82" s="58"/>
      <c r="F82" s="69"/>
      <c r="G82" s="58"/>
    </row>
    <row r="83" spans="1:7" ht="21" customHeight="1">
      <c r="A83" s="58"/>
      <c r="B83" s="58"/>
      <c r="C83" s="58"/>
      <c r="D83" s="58"/>
      <c r="E83" s="58"/>
      <c r="F83" s="69"/>
      <c r="G83" s="58"/>
    </row>
    <row r="84" spans="1:7" ht="21" customHeight="1">
      <c r="A84" s="58"/>
      <c r="B84" s="58"/>
      <c r="C84" s="58"/>
      <c r="D84" s="58"/>
      <c r="E84" s="58"/>
      <c r="F84" s="69"/>
      <c r="G84" s="58"/>
    </row>
    <row r="85" spans="1:7" ht="21" customHeight="1">
      <c r="A85" s="58"/>
      <c r="B85" s="58"/>
      <c r="C85" s="58"/>
      <c r="D85" s="58"/>
      <c r="E85" s="58"/>
      <c r="F85" s="69"/>
      <c r="G85" s="58"/>
    </row>
    <row r="86" spans="1:7" ht="21" customHeight="1">
      <c r="A86" s="58"/>
      <c r="B86" s="58"/>
      <c r="C86" s="58"/>
      <c r="D86" s="58"/>
      <c r="E86" s="58"/>
      <c r="F86" s="69"/>
      <c r="G86" s="58"/>
    </row>
    <row r="87" spans="1:7" ht="21" customHeight="1">
      <c r="A87" s="58"/>
      <c r="B87" s="58"/>
      <c r="C87" s="58"/>
      <c r="D87" s="58"/>
      <c r="E87" s="58"/>
      <c r="F87" s="69"/>
      <c r="G87" s="58"/>
    </row>
    <row r="88" spans="1:7" ht="21" customHeight="1">
      <c r="A88" s="58"/>
      <c r="B88" s="58"/>
      <c r="C88" s="58"/>
      <c r="D88" s="58"/>
      <c r="E88" s="58"/>
      <c r="F88" s="69"/>
      <c r="G88" s="58"/>
    </row>
    <row r="89" spans="1:7" ht="21" customHeight="1">
      <c r="A89" s="58"/>
      <c r="B89" s="58"/>
      <c r="C89" s="58"/>
      <c r="D89" s="58"/>
      <c r="E89" s="58"/>
      <c r="F89" s="69"/>
      <c r="G89" s="58"/>
    </row>
    <row r="90" spans="1:7" ht="21" customHeight="1">
      <c r="A90" s="58"/>
      <c r="B90" s="58"/>
      <c r="C90" s="58"/>
      <c r="D90" s="58"/>
      <c r="E90" s="58"/>
      <c r="F90" s="69"/>
      <c r="G90" s="58"/>
    </row>
    <row r="91" spans="1:7" ht="21" customHeight="1">
      <c r="A91" s="58"/>
      <c r="B91" s="58"/>
      <c r="C91" s="58"/>
      <c r="D91" s="58"/>
      <c r="E91" s="58"/>
      <c r="F91" s="69"/>
      <c r="G91" s="58"/>
    </row>
    <row r="92" spans="1:7" ht="21" customHeight="1">
      <c r="A92" s="58"/>
      <c r="B92" s="58"/>
      <c r="C92" s="58"/>
      <c r="D92" s="58"/>
      <c r="E92" s="58"/>
      <c r="F92" s="69"/>
      <c r="G92" s="58"/>
    </row>
    <row r="93" spans="1:7" ht="21" customHeight="1">
      <c r="A93" s="58"/>
      <c r="B93" s="58"/>
      <c r="C93" s="58"/>
      <c r="D93" s="58"/>
      <c r="E93" s="58"/>
      <c r="F93" s="69"/>
      <c r="G93" s="58"/>
    </row>
    <row r="94" spans="1:7" ht="21" customHeight="1">
      <c r="A94" s="58"/>
      <c r="B94" s="58"/>
      <c r="C94" s="58"/>
      <c r="D94" s="58"/>
      <c r="E94" s="58"/>
      <c r="F94" s="69"/>
      <c r="G94" s="58"/>
    </row>
    <row r="95" spans="1:7" ht="21" customHeight="1">
      <c r="A95" s="58"/>
      <c r="B95" s="58"/>
      <c r="C95" s="58"/>
      <c r="D95" s="58"/>
      <c r="E95" s="58"/>
      <c r="F95" s="69"/>
      <c r="G95" s="58"/>
    </row>
    <row r="96" spans="1:7" ht="21" customHeight="1">
      <c r="A96" s="58"/>
      <c r="B96" s="58"/>
      <c r="C96" s="58"/>
      <c r="D96" s="58"/>
      <c r="E96" s="58"/>
      <c r="F96" s="69"/>
      <c r="G96" s="58"/>
    </row>
    <row r="97" spans="1:7" ht="21" customHeight="1">
      <c r="A97" s="58"/>
      <c r="B97" s="58"/>
      <c r="C97" s="58"/>
      <c r="D97" s="58"/>
      <c r="E97" s="58"/>
      <c r="F97" s="69"/>
      <c r="G97" s="58"/>
    </row>
    <row r="98" spans="1:7" ht="21" customHeight="1">
      <c r="A98" s="58"/>
      <c r="B98" s="58"/>
      <c r="C98" s="58"/>
      <c r="D98" s="58"/>
      <c r="E98" s="58"/>
      <c r="F98" s="69"/>
      <c r="G98" s="58"/>
    </row>
    <row r="99" spans="1:7" ht="21" customHeight="1">
      <c r="A99" s="58"/>
      <c r="B99" s="58"/>
      <c r="C99" s="58"/>
      <c r="D99" s="58"/>
      <c r="E99" s="58"/>
      <c r="F99" s="69"/>
      <c r="G99" s="58"/>
    </row>
    <row r="100" spans="1:7" ht="21" customHeight="1">
      <c r="A100" s="58"/>
      <c r="B100" s="58"/>
      <c r="C100" s="58"/>
      <c r="D100" s="58"/>
      <c r="E100" s="58"/>
      <c r="F100" s="69"/>
      <c r="G100" s="58"/>
    </row>
    <row r="101" spans="1:7" ht="21" customHeight="1">
      <c r="A101" s="58"/>
      <c r="B101" s="58"/>
      <c r="C101" s="58"/>
      <c r="D101" s="58"/>
      <c r="E101" s="58"/>
      <c r="F101" s="69"/>
      <c r="G101" s="58"/>
    </row>
    <row r="102" spans="1:7" ht="21" customHeight="1">
      <c r="A102" s="58"/>
      <c r="B102" s="58"/>
      <c r="C102" s="58"/>
      <c r="D102" s="58"/>
      <c r="E102" s="58"/>
      <c r="F102" s="69"/>
      <c r="G102" s="58"/>
    </row>
    <row r="103" spans="1:7" ht="21" customHeight="1">
      <c r="A103" s="58"/>
      <c r="B103" s="58"/>
      <c r="C103" s="58"/>
      <c r="D103" s="58"/>
      <c r="E103" s="58"/>
      <c r="F103" s="69"/>
      <c r="G103" s="58"/>
    </row>
    <row r="104" spans="1:7" ht="21" customHeight="1">
      <c r="A104" s="58"/>
      <c r="B104" s="58"/>
      <c r="C104" s="58"/>
      <c r="D104" s="58"/>
      <c r="E104" s="58"/>
      <c r="F104" s="69"/>
      <c r="G104" s="58"/>
    </row>
    <row r="105" spans="1:7" ht="21" customHeight="1">
      <c r="A105" s="58"/>
      <c r="B105" s="58"/>
      <c r="C105" s="58"/>
      <c r="D105" s="58"/>
      <c r="E105" s="58"/>
      <c r="F105" s="69"/>
      <c r="G105" s="58"/>
    </row>
    <row r="106" spans="1:7" ht="21" customHeight="1">
      <c r="A106" s="58"/>
      <c r="B106" s="58"/>
      <c r="C106" s="58"/>
      <c r="D106" s="58"/>
      <c r="E106" s="58"/>
      <c r="F106" s="69"/>
      <c r="G106" s="58"/>
    </row>
    <row r="107" spans="1:7" ht="21" customHeight="1">
      <c r="A107" s="58"/>
      <c r="B107" s="58"/>
      <c r="C107" s="58"/>
      <c r="D107" s="58"/>
      <c r="E107" s="58"/>
      <c r="F107" s="69"/>
      <c r="G107" s="58"/>
    </row>
    <row r="108" spans="1:7" ht="21" customHeight="1">
      <c r="A108" s="58"/>
      <c r="B108" s="58"/>
      <c r="C108" s="58"/>
      <c r="D108" s="58"/>
      <c r="E108" s="58"/>
      <c r="F108" s="69"/>
      <c r="G108" s="58"/>
    </row>
    <row r="109" spans="1:7" ht="21" customHeight="1">
      <c r="A109" s="58"/>
      <c r="B109" s="58"/>
      <c r="C109" s="58"/>
      <c r="D109" s="58"/>
      <c r="E109" s="58"/>
      <c r="F109" s="69"/>
      <c r="G109" s="58"/>
    </row>
    <row r="110" spans="1:7" ht="21" customHeight="1">
      <c r="A110" s="58"/>
      <c r="B110" s="58"/>
      <c r="C110" s="58"/>
      <c r="D110" s="58"/>
      <c r="E110" s="58"/>
      <c r="F110" s="69"/>
      <c r="G110" s="58"/>
    </row>
    <row r="111" spans="1:7" ht="21" customHeight="1">
      <c r="A111" s="58"/>
      <c r="B111" s="58"/>
      <c r="C111" s="58"/>
      <c r="D111" s="58"/>
      <c r="E111" s="58"/>
      <c r="F111" s="69"/>
      <c r="G111" s="58"/>
    </row>
    <row r="112" spans="1:7" ht="21" customHeight="1">
      <c r="A112" s="58"/>
      <c r="B112" s="58"/>
      <c r="C112" s="58"/>
      <c r="D112" s="58"/>
      <c r="E112" s="58"/>
      <c r="F112" s="69"/>
      <c r="G112" s="58"/>
    </row>
    <row r="113" spans="1:7" ht="21" customHeight="1">
      <c r="A113" s="58"/>
      <c r="B113" s="58"/>
      <c r="C113" s="58"/>
      <c r="D113" s="58"/>
      <c r="E113" s="58"/>
      <c r="F113" s="69"/>
      <c r="G113" s="58"/>
    </row>
    <row r="114" spans="1:7" ht="21" customHeight="1">
      <c r="A114" s="58"/>
      <c r="B114" s="58"/>
      <c r="C114" s="58"/>
      <c r="D114" s="58"/>
      <c r="E114" s="58"/>
      <c r="F114" s="69"/>
      <c r="G114" s="58"/>
    </row>
    <row r="115" spans="1:7" ht="21" customHeight="1">
      <c r="A115" s="58"/>
      <c r="B115" s="58"/>
      <c r="C115" s="58"/>
      <c r="D115" s="58"/>
      <c r="E115" s="58"/>
      <c r="F115" s="69"/>
      <c r="G115" s="58"/>
    </row>
    <row r="116" spans="1:7" ht="21" customHeight="1">
      <c r="A116" s="58"/>
      <c r="B116" s="58"/>
      <c r="C116" s="58"/>
      <c r="D116" s="58"/>
      <c r="E116" s="58"/>
      <c r="F116" s="69"/>
      <c r="G116" s="58"/>
    </row>
    <row r="117" spans="1:7" ht="21" customHeight="1">
      <c r="A117" s="58"/>
      <c r="B117" s="58"/>
      <c r="C117" s="58"/>
      <c r="D117" s="58"/>
      <c r="E117" s="58"/>
      <c r="F117" s="69"/>
      <c r="G117" s="58"/>
    </row>
    <row r="118" spans="1:7" ht="21" customHeight="1">
      <c r="A118" s="58"/>
      <c r="B118" s="58"/>
      <c r="C118" s="58"/>
      <c r="D118" s="58"/>
      <c r="E118" s="58"/>
      <c r="F118" s="69"/>
      <c r="G118" s="58"/>
    </row>
    <row r="119" spans="1:7" ht="21" customHeight="1">
      <c r="A119" s="58"/>
      <c r="B119" s="58"/>
      <c r="C119" s="58"/>
      <c r="D119" s="58"/>
      <c r="E119" s="58"/>
      <c r="F119" s="69"/>
      <c r="G119" s="58"/>
    </row>
    <row r="120" spans="1:7" ht="21" customHeight="1">
      <c r="A120" s="58"/>
      <c r="B120" s="58"/>
      <c r="C120" s="58"/>
      <c r="D120" s="58"/>
      <c r="E120" s="58"/>
      <c r="F120" s="69"/>
      <c r="G120" s="58"/>
    </row>
    <row r="121" spans="1:7" ht="21" customHeight="1">
      <c r="A121" s="58"/>
      <c r="B121" s="58"/>
      <c r="C121" s="58"/>
      <c r="D121" s="58"/>
      <c r="E121" s="58"/>
      <c r="F121" s="69"/>
      <c r="G121" s="58"/>
    </row>
    <row r="122" spans="1:7" ht="21" customHeight="1">
      <c r="A122" s="58"/>
      <c r="B122" s="58"/>
      <c r="C122" s="58"/>
      <c r="D122" s="58"/>
      <c r="E122" s="58"/>
      <c r="F122" s="69"/>
      <c r="G122" s="58"/>
    </row>
    <row r="123" spans="1:7" ht="21" customHeight="1">
      <c r="A123" s="58"/>
      <c r="B123" s="58"/>
      <c r="C123" s="58"/>
      <c r="D123" s="58"/>
      <c r="E123" s="58"/>
      <c r="F123" s="69"/>
      <c r="G123" s="58"/>
    </row>
    <row r="124" spans="1:7" ht="21" customHeight="1">
      <c r="A124" s="58"/>
      <c r="B124" s="58"/>
      <c r="C124" s="58"/>
      <c r="D124" s="58"/>
      <c r="E124" s="58"/>
      <c r="F124" s="69"/>
      <c r="G124" s="58"/>
    </row>
    <row r="125" spans="1:7" ht="21" customHeight="1">
      <c r="A125" s="58"/>
      <c r="B125" s="58"/>
      <c r="C125" s="58"/>
      <c r="D125" s="58"/>
      <c r="E125" s="58"/>
      <c r="F125" s="69"/>
      <c r="G125" s="58"/>
    </row>
    <row r="126" spans="1:7" ht="21" customHeight="1">
      <c r="A126" s="58"/>
      <c r="B126" s="58"/>
      <c r="C126" s="58"/>
      <c r="D126" s="58"/>
      <c r="E126" s="58"/>
      <c r="F126" s="69"/>
      <c r="G126" s="58"/>
    </row>
    <row r="127" spans="1:7" ht="21" customHeight="1">
      <c r="A127" s="58"/>
      <c r="B127" s="58"/>
      <c r="C127" s="58"/>
      <c r="D127" s="58"/>
      <c r="E127" s="58"/>
      <c r="F127" s="69"/>
      <c r="G127" s="58"/>
    </row>
    <row r="128" spans="1:7" ht="21" customHeight="1">
      <c r="A128" s="58"/>
      <c r="B128" s="58"/>
      <c r="C128" s="58"/>
      <c r="D128" s="58"/>
      <c r="E128" s="58"/>
      <c r="F128" s="69"/>
      <c r="G128" s="58"/>
    </row>
    <row r="129" spans="1:7" ht="21" customHeight="1">
      <c r="A129" s="58"/>
      <c r="B129" s="58"/>
      <c r="C129" s="58"/>
      <c r="D129" s="58"/>
      <c r="E129" s="58"/>
      <c r="F129" s="69"/>
      <c r="G129" s="58"/>
    </row>
    <row r="130" spans="1:7" ht="21" customHeight="1">
      <c r="A130" s="58"/>
      <c r="B130" s="58"/>
      <c r="C130" s="58"/>
      <c r="D130" s="58"/>
      <c r="E130" s="58"/>
      <c r="F130" s="69"/>
      <c r="G130" s="58"/>
    </row>
    <row r="131" spans="1:7" ht="21" customHeight="1">
      <c r="A131" s="58"/>
      <c r="B131" s="58"/>
      <c r="C131" s="58"/>
      <c r="D131" s="58"/>
      <c r="E131" s="58"/>
      <c r="F131" s="69"/>
      <c r="G131" s="58"/>
    </row>
    <row r="132" spans="1:7" ht="21" customHeight="1">
      <c r="A132" s="58"/>
      <c r="B132" s="58"/>
      <c r="C132" s="58"/>
      <c r="D132" s="58"/>
      <c r="E132" s="58"/>
      <c r="F132" s="69"/>
      <c r="G132" s="58"/>
    </row>
    <row r="133" spans="1:7" ht="21" customHeight="1">
      <c r="A133" s="58"/>
      <c r="B133" s="58"/>
      <c r="C133" s="58"/>
      <c r="D133" s="58"/>
      <c r="E133" s="58"/>
      <c r="F133" s="69"/>
      <c r="G133" s="58"/>
    </row>
    <row r="134" spans="1:7" ht="21" customHeight="1">
      <c r="A134" s="58"/>
      <c r="B134" s="58"/>
      <c r="C134" s="58"/>
      <c r="D134" s="58"/>
      <c r="E134" s="58"/>
      <c r="F134" s="69"/>
      <c r="G134" s="58"/>
    </row>
    <row r="135" spans="1:7" ht="21" customHeight="1">
      <c r="A135" s="58"/>
      <c r="B135" s="58"/>
      <c r="C135" s="58"/>
      <c r="D135" s="58"/>
      <c r="E135" s="58"/>
      <c r="F135" s="69"/>
      <c r="G135" s="58"/>
    </row>
    <row r="136" spans="1:7" ht="21" customHeight="1">
      <c r="A136" s="58"/>
      <c r="B136" s="58"/>
      <c r="C136" s="58"/>
      <c r="D136" s="58"/>
      <c r="E136" s="58"/>
      <c r="F136" s="69"/>
      <c r="G136" s="58"/>
    </row>
    <row r="137" spans="1:7" ht="21" customHeight="1">
      <c r="A137" s="58"/>
      <c r="B137" s="58"/>
      <c r="C137" s="58"/>
      <c r="D137" s="58"/>
      <c r="E137" s="58"/>
      <c r="F137" s="69"/>
      <c r="G137" s="58"/>
    </row>
    <row r="138" spans="1:7" ht="21" customHeight="1">
      <c r="A138" s="58"/>
      <c r="B138" s="58"/>
      <c r="C138" s="58"/>
      <c r="D138" s="58"/>
      <c r="E138" s="58"/>
      <c r="F138" s="69"/>
      <c r="G138" s="58"/>
    </row>
    <row r="139" spans="1:7" ht="21" customHeight="1">
      <c r="A139" s="58"/>
      <c r="B139" s="58"/>
      <c r="C139" s="58"/>
      <c r="D139" s="58"/>
      <c r="E139" s="58"/>
      <c r="F139" s="69"/>
      <c r="G139" s="58"/>
    </row>
    <row r="140" spans="1:7" ht="21" customHeight="1">
      <c r="A140" s="58"/>
      <c r="B140" s="58"/>
      <c r="C140" s="58"/>
      <c r="D140" s="58"/>
      <c r="E140" s="58"/>
      <c r="F140" s="69"/>
      <c r="G140" s="58"/>
    </row>
    <row r="141" spans="1:7" ht="21" customHeight="1">
      <c r="A141" s="58"/>
      <c r="B141" s="58"/>
      <c r="C141" s="58"/>
      <c r="D141" s="58"/>
      <c r="E141" s="58"/>
      <c r="F141" s="69"/>
      <c r="G141" s="58"/>
    </row>
    <row r="142" spans="1:7" ht="21" customHeight="1">
      <c r="A142" s="58"/>
      <c r="B142" s="58"/>
      <c r="C142" s="58"/>
      <c r="D142" s="58"/>
      <c r="E142" s="58"/>
      <c r="F142" s="69"/>
      <c r="G142" s="58"/>
    </row>
    <row r="143" spans="1:7" ht="21" customHeight="1">
      <c r="A143" s="58"/>
      <c r="B143" s="58"/>
      <c r="C143" s="58"/>
      <c r="D143" s="58"/>
      <c r="E143" s="58"/>
      <c r="F143" s="69"/>
      <c r="G143" s="58"/>
    </row>
    <row r="144" spans="1:7" ht="21" customHeight="1">
      <c r="A144" s="58"/>
      <c r="B144" s="58"/>
      <c r="C144" s="58"/>
      <c r="D144" s="58"/>
      <c r="E144" s="58"/>
      <c r="F144" s="69"/>
      <c r="G144" s="58"/>
    </row>
    <row r="145" spans="1:7" ht="21" customHeight="1">
      <c r="A145" s="58"/>
      <c r="B145" s="58"/>
      <c r="C145" s="58"/>
      <c r="D145" s="58"/>
      <c r="E145" s="58"/>
      <c r="F145" s="69"/>
      <c r="G145" s="58"/>
    </row>
    <row r="146" spans="1:7" ht="21" customHeight="1">
      <c r="A146" s="58"/>
      <c r="B146" s="58"/>
      <c r="C146" s="58"/>
      <c r="D146" s="58"/>
      <c r="E146" s="58"/>
      <c r="F146" s="69"/>
      <c r="G146" s="58"/>
    </row>
    <row r="147" spans="1:7" ht="21" customHeight="1">
      <c r="A147" s="58"/>
      <c r="B147" s="58"/>
      <c r="C147" s="58"/>
      <c r="D147" s="58"/>
      <c r="E147" s="58"/>
      <c r="F147" s="69"/>
      <c r="G147" s="58"/>
    </row>
    <row r="148" spans="1:7" ht="21" customHeight="1">
      <c r="A148" s="58"/>
      <c r="B148" s="58"/>
      <c r="C148" s="58"/>
      <c r="D148" s="58"/>
      <c r="E148" s="58"/>
      <c r="F148" s="69"/>
      <c r="G148" s="58"/>
    </row>
    <row r="149" spans="1:7" ht="21" customHeight="1">
      <c r="A149" s="58"/>
      <c r="B149" s="58"/>
      <c r="C149" s="58"/>
      <c r="D149" s="58"/>
      <c r="E149" s="58"/>
      <c r="F149" s="69"/>
      <c r="G149" s="58"/>
    </row>
    <row r="150" spans="1:7" ht="21" customHeight="1">
      <c r="A150" s="58"/>
      <c r="B150" s="58"/>
      <c r="C150" s="58"/>
      <c r="D150" s="58"/>
      <c r="E150" s="58"/>
      <c r="F150" s="69"/>
      <c r="G150" s="58"/>
    </row>
    <row r="151" spans="1:7" ht="21" customHeight="1">
      <c r="A151" s="58"/>
      <c r="B151" s="58"/>
      <c r="C151" s="58"/>
      <c r="D151" s="58"/>
      <c r="E151" s="58"/>
      <c r="F151" s="69"/>
      <c r="G151" s="58"/>
    </row>
    <row r="152" spans="1:7" ht="21" customHeight="1">
      <c r="A152" s="58"/>
      <c r="B152" s="58"/>
      <c r="C152" s="58"/>
      <c r="D152" s="58"/>
      <c r="E152" s="58"/>
      <c r="F152" s="69"/>
      <c r="G152" s="58"/>
    </row>
    <row r="153" spans="1:7" ht="21" customHeight="1">
      <c r="A153" s="58"/>
      <c r="B153" s="58"/>
      <c r="C153" s="58"/>
      <c r="D153" s="58"/>
      <c r="E153" s="58"/>
      <c r="F153" s="69"/>
      <c r="G153" s="58"/>
    </row>
    <row r="154" spans="1:7" ht="21" customHeight="1">
      <c r="A154" s="58"/>
      <c r="B154" s="58"/>
      <c r="C154" s="58"/>
      <c r="D154" s="58"/>
      <c r="E154" s="58"/>
      <c r="F154" s="69"/>
      <c r="G154" s="58"/>
    </row>
    <row r="155" spans="1:7" ht="21" customHeight="1">
      <c r="A155" s="58"/>
      <c r="B155" s="58"/>
      <c r="C155" s="58"/>
      <c r="D155" s="58"/>
      <c r="E155" s="58"/>
      <c r="F155" s="69"/>
      <c r="G155" s="58"/>
    </row>
    <row r="156" spans="1:7" ht="21" customHeight="1">
      <c r="A156" s="58"/>
      <c r="B156" s="58"/>
      <c r="C156" s="58"/>
      <c r="D156" s="58"/>
      <c r="E156" s="58"/>
      <c r="F156" s="69"/>
      <c r="G156" s="58"/>
    </row>
    <row r="157" spans="1:7" ht="21" customHeight="1">
      <c r="A157" s="58"/>
      <c r="B157" s="58"/>
      <c r="C157" s="58"/>
      <c r="D157" s="58"/>
      <c r="E157" s="58"/>
      <c r="F157" s="69"/>
      <c r="G157" s="58"/>
    </row>
    <row r="158" spans="1:7" ht="21" customHeight="1">
      <c r="A158" s="58"/>
      <c r="B158" s="58"/>
      <c r="C158" s="58"/>
      <c r="D158" s="58"/>
      <c r="E158" s="58"/>
      <c r="F158" s="69"/>
      <c r="G158" s="58"/>
    </row>
    <row r="159" spans="1:7" ht="21" customHeight="1">
      <c r="A159" s="58"/>
      <c r="B159" s="58"/>
      <c r="C159" s="58"/>
      <c r="D159" s="58"/>
      <c r="E159" s="58"/>
      <c r="F159" s="69"/>
      <c r="G159" s="58"/>
    </row>
    <row r="160" spans="1:7" ht="21" customHeight="1">
      <c r="A160" s="58"/>
      <c r="B160" s="58"/>
      <c r="C160" s="58"/>
      <c r="D160" s="58"/>
      <c r="E160" s="58"/>
      <c r="F160" s="69"/>
      <c r="G160" s="58"/>
    </row>
    <row r="161" spans="1:7" ht="21" customHeight="1">
      <c r="A161" s="58"/>
      <c r="B161" s="58"/>
      <c r="C161" s="58"/>
      <c r="D161" s="58"/>
      <c r="E161" s="58"/>
      <c r="F161" s="69"/>
      <c r="G161" s="58"/>
    </row>
    <row r="162" spans="1:7" ht="21" customHeight="1">
      <c r="A162" s="58"/>
      <c r="B162" s="58"/>
      <c r="C162" s="58"/>
      <c r="D162" s="58"/>
      <c r="E162" s="58"/>
      <c r="F162" s="69"/>
      <c r="G162" s="58"/>
    </row>
    <row r="163" spans="1:7" ht="21" customHeight="1">
      <c r="A163" s="58"/>
      <c r="B163" s="58"/>
      <c r="C163" s="58"/>
      <c r="D163" s="58"/>
      <c r="E163" s="58"/>
      <c r="F163" s="69"/>
      <c r="G163" s="58"/>
    </row>
    <row r="164" spans="1:7" ht="21" customHeight="1">
      <c r="A164" s="58"/>
      <c r="B164" s="58"/>
      <c r="C164" s="58"/>
      <c r="D164" s="58"/>
      <c r="E164" s="58"/>
      <c r="F164" s="69"/>
      <c r="G164" s="58"/>
    </row>
    <row r="165" spans="1:7" ht="21" customHeight="1">
      <c r="A165" s="58"/>
      <c r="B165" s="58"/>
      <c r="C165" s="58"/>
      <c r="D165" s="58"/>
      <c r="E165" s="58"/>
      <c r="F165" s="69"/>
      <c r="G165" s="58"/>
    </row>
    <row r="166" spans="1:7" ht="21" customHeight="1">
      <c r="A166" s="58"/>
      <c r="B166" s="58"/>
      <c r="C166" s="58"/>
      <c r="D166" s="58"/>
      <c r="E166" s="58"/>
      <c r="F166" s="69"/>
      <c r="G166" s="58"/>
    </row>
    <row r="167" spans="1:7" ht="21" customHeight="1">
      <c r="A167" s="58"/>
      <c r="B167" s="58"/>
      <c r="C167" s="58"/>
      <c r="D167" s="58"/>
      <c r="E167" s="58"/>
      <c r="F167" s="69"/>
      <c r="G167" s="58"/>
    </row>
    <row r="168" spans="1:7" ht="21" customHeight="1">
      <c r="A168" s="58"/>
      <c r="B168" s="58"/>
      <c r="C168" s="58"/>
      <c r="D168" s="58"/>
      <c r="E168" s="58"/>
      <c r="F168" s="69"/>
      <c r="G168" s="58"/>
    </row>
    <row r="169" spans="1:7" ht="21" customHeight="1">
      <c r="A169" s="58"/>
      <c r="B169" s="58"/>
      <c r="C169" s="58"/>
      <c r="D169" s="58"/>
      <c r="E169" s="58"/>
      <c r="F169" s="69"/>
      <c r="G169" s="58"/>
    </row>
    <row r="170" spans="1:7" ht="21" customHeight="1">
      <c r="A170" s="58"/>
      <c r="B170" s="58"/>
      <c r="C170" s="58"/>
      <c r="D170" s="58"/>
      <c r="E170" s="58"/>
      <c r="F170" s="69"/>
      <c r="G170" s="58"/>
    </row>
    <row r="171" spans="1:7" ht="21" customHeight="1">
      <c r="A171" s="58"/>
      <c r="B171" s="58"/>
      <c r="C171" s="58"/>
      <c r="D171" s="58"/>
      <c r="E171" s="58"/>
      <c r="F171" s="69"/>
      <c r="G171" s="58"/>
    </row>
    <row r="172" spans="1:7" ht="21" customHeight="1">
      <c r="A172" s="58"/>
      <c r="B172" s="58"/>
      <c r="C172" s="58"/>
      <c r="D172" s="58"/>
      <c r="E172" s="58"/>
      <c r="F172" s="69"/>
      <c r="G172" s="58"/>
    </row>
    <row r="173" spans="1:7" ht="21" customHeight="1">
      <c r="A173" s="58"/>
      <c r="B173" s="58"/>
      <c r="C173" s="58"/>
      <c r="D173" s="58"/>
      <c r="E173" s="58"/>
      <c r="F173" s="69"/>
      <c r="G173" s="58"/>
    </row>
    <row r="174" spans="1:7" ht="21" customHeight="1">
      <c r="A174" s="58"/>
      <c r="B174" s="58"/>
      <c r="C174" s="58"/>
      <c r="D174" s="58"/>
      <c r="E174" s="58"/>
      <c r="F174" s="69"/>
      <c r="G174" s="58"/>
    </row>
    <row r="175" spans="1:7" ht="21" customHeight="1">
      <c r="A175" s="58"/>
      <c r="B175" s="58"/>
      <c r="C175" s="58"/>
      <c r="D175" s="58"/>
      <c r="E175" s="58"/>
      <c r="F175" s="69"/>
      <c r="G175" s="58"/>
    </row>
    <row r="176" spans="1:7" ht="21" customHeight="1">
      <c r="A176" s="58"/>
      <c r="B176" s="58"/>
      <c r="C176" s="58"/>
      <c r="D176" s="58"/>
      <c r="E176" s="58"/>
      <c r="F176" s="69"/>
      <c r="G176" s="58"/>
    </row>
    <row r="177" spans="1:7" ht="21" customHeight="1">
      <c r="A177" s="58"/>
      <c r="B177" s="58"/>
      <c r="C177" s="58"/>
      <c r="D177" s="58"/>
      <c r="E177" s="58"/>
      <c r="F177" s="69"/>
      <c r="G177" s="58"/>
    </row>
    <row r="178" spans="1:7" ht="21" customHeight="1">
      <c r="A178" s="58"/>
      <c r="B178" s="58"/>
      <c r="C178" s="58"/>
      <c r="D178" s="58"/>
      <c r="E178" s="58"/>
      <c r="F178" s="69"/>
      <c r="G178" s="58"/>
    </row>
    <row r="179" spans="1:7" ht="21" customHeight="1">
      <c r="A179" s="58"/>
      <c r="B179" s="58"/>
      <c r="C179" s="58"/>
      <c r="D179" s="58"/>
      <c r="E179" s="58"/>
      <c r="F179" s="69"/>
      <c r="G179" s="58"/>
    </row>
    <row r="180" spans="1:7" ht="21" customHeight="1">
      <c r="A180" s="58"/>
      <c r="B180" s="58"/>
      <c r="C180" s="58"/>
      <c r="D180" s="58"/>
      <c r="E180" s="58"/>
      <c r="F180" s="69"/>
      <c r="G180" s="58"/>
    </row>
    <row r="181" spans="1:7" ht="21" customHeight="1">
      <c r="A181" s="58"/>
      <c r="B181" s="58"/>
      <c r="C181" s="58"/>
      <c r="D181" s="58"/>
      <c r="E181" s="58"/>
      <c r="F181" s="69"/>
      <c r="G181" s="58"/>
    </row>
    <row r="182" spans="1:7" ht="21" customHeight="1">
      <c r="A182" s="58"/>
      <c r="B182" s="58"/>
      <c r="C182" s="58"/>
      <c r="D182" s="58"/>
      <c r="E182" s="58"/>
      <c r="F182" s="69"/>
      <c r="G182" s="58"/>
    </row>
    <row r="183" spans="1:7" ht="21" customHeight="1">
      <c r="A183" s="58"/>
      <c r="B183" s="58"/>
      <c r="C183" s="58"/>
      <c r="D183" s="58"/>
      <c r="E183" s="58"/>
      <c r="F183" s="69"/>
      <c r="G183" s="58"/>
    </row>
    <row r="184" spans="1:7" ht="21" customHeight="1">
      <c r="A184" s="58"/>
      <c r="B184" s="58"/>
      <c r="C184" s="58"/>
      <c r="D184" s="58"/>
      <c r="E184" s="58"/>
      <c r="F184" s="69"/>
      <c r="G184" s="58"/>
    </row>
    <row r="185" spans="1:7" ht="21" customHeight="1">
      <c r="A185" s="58"/>
      <c r="B185" s="58"/>
      <c r="C185" s="58"/>
      <c r="D185" s="58"/>
      <c r="E185" s="58"/>
      <c r="F185" s="69"/>
      <c r="G185" s="58"/>
    </row>
    <row r="186" spans="1:7" ht="21" customHeight="1">
      <c r="A186" s="58"/>
      <c r="B186" s="58"/>
      <c r="C186" s="58"/>
      <c r="D186" s="58"/>
      <c r="E186" s="58"/>
      <c r="F186" s="69"/>
      <c r="G186" s="58"/>
    </row>
    <row r="187" spans="1:7" ht="21" customHeight="1">
      <c r="A187" s="58"/>
      <c r="B187" s="58"/>
      <c r="C187" s="58"/>
      <c r="D187" s="58"/>
      <c r="E187" s="58"/>
      <c r="F187" s="69"/>
      <c r="G187" s="58"/>
    </row>
    <row r="188" spans="1:7" ht="21" customHeight="1">
      <c r="A188" s="58"/>
      <c r="B188" s="58"/>
      <c r="C188" s="58"/>
      <c r="D188" s="58"/>
      <c r="E188" s="58"/>
      <c r="F188" s="69"/>
      <c r="G188" s="58"/>
    </row>
    <row r="189" spans="1:7" ht="21" customHeight="1">
      <c r="A189" s="58"/>
      <c r="B189" s="58"/>
      <c r="C189" s="58"/>
      <c r="D189" s="58"/>
      <c r="E189" s="58"/>
      <c r="F189" s="69"/>
      <c r="G189" s="58"/>
    </row>
    <row r="190" spans="1:7" ht="21" customHeight="1">
      <c r="A190" s="58"/>
      <c r="B190" s="58"/>
      <c r="C190" s="58"/>
      <c r="D190" s="58"/>
      <c r="E190" s="58"/>
      <c r="F190" s="69"/>
      <c r="G190" s="58"/>
    </row>
    <row r="191" spans="1:7" ht="21" customHeight="1">
      <c r="A191" s="58"/>
      <c r="B191" s="58"/>
      <c r="C191" s="58"/>
      <c r="D191" s="58"/>
      <c r="E191" s="58"/>
      <c r="F191" s="69"/>
      <c r="G191" s="58"/>
    </row>
    <row r="192" spans="1:7" ht="21" customHeight="1">
      <c r="A192" s="58"/>
      <c r="B192" s="58"/>
      <c r="C192" s="58"/>
      <c r="D192" s="58"/>
      <c r="E192" s="58"/>
      <c r="F192" s="69"/>
      <c r="G192" s="58"/>
    </row>
    <row r="193" spans="1:7" ht="21" customHeight="1">
      <c r="A193" s="58"/>
      <c r="B193" s="58"/>
      <c r="C193" s="58"/>
      <c r="D193" s="58"/>
      <c r="E193" s="58"/>
      <c r="F193" s="69"/>
      <c r="G193" s="58"/>
    </row>
    <row r="194" spans="1:7" ht="21" customHeight="1">
      <c r="A194" s="58"/>
      <c r="B194" s="58"/>
      <c r="C194" s="58"/>
      <c r="D194" s="58"/>
      <c r="E194" s="58"/>
      <c r="F194" s="69"/>
      <c r="G194" s="58"/>
    </row>
    <row r="195" spans="1:7" ht="21" customHeight="1">
      <c r="A195" s="58"/>
      <c r="B195" s="58"/>
      <c r="C195" s="58"/>
      <c r="D195" s="58"/>
      <c r="E195" s="58"/>
      <c r="F195" s="69"/>
      <c r="G195" s="58"/>
    </row>
    <row r="196" spans="1:7" ht="21" customHeight="1">
      <c r="A196" s="58"/>
      <c r="B196" s="58"/>
      <c r="C196" s="58"/>
      <c r="D196" s="58"/>
      <c r="E196" s="58"/>
      <c r="F196" s="69"/>
      <c r="G196" s="58"/>
    </row>
    <row r="197" spans="1:7" ht="21" customHeight="1">
      <c r="A197" s="58"/>
      <c r="B197" s="58"/>
      <c r="C197" s="58"/>
      <c r="D197" s="58"/>
      <c r="E197" s="58"/>
      <c r="F197" s="69"/>
      <c r="G197" s="58"/>
    </row>
    <row r="198" spans="1:7" ht="21" customHeight="1">
      <c r="A198" s="58"/>
      <c r="B198" s="58"/>
      <c r="C198" s="58"/>
      <c r="D198" s="58"/>
      <c r="E198" s="58"/>
      <c r="F198" s="69"/>
      <c r="G198" s="58"/>
    </row>
    <row r="199" spans="1:7" ht="21" customHeight="1">
      <c r="A199" s="58"/>
      <c r="B199" s="58"/>
      <c r="C199" s="58"/>
      <c r="D199" s="58"/>
      <c r="E199" s="58"/>
      <c r="F199" s="69"/>
      <c r="G199" s="58"/>
    </row>
    <row r="200" spans="1:7" ht="21" customHeight="1">
      <c r="A200" s="58"/>
      <c r="B200" s="58"/>
      <c r="C200" s="58"/>
      <c r="D200" s="58"/>
      <c r="E200" s="58"/>
      <c r="F200" s="69"/>
      <c r="G200" s="58"/>
    </row>
    <row r="201" spans="1:7" ht="21" customHeight="1">
      <c r="A201" s="58"/>
      <c r="B201" s="58"/>
      <c r="C201" s="58"/>
      <c r="D201" s="58"/>
      <c r="E201" s="58"/>
      <c r="F201" s="69"/>
      <c r="G201" s="58"/>
    </row>
    <row r="202" spans="1:7" ht="21" customHeight="1">
      <c r="A202" s="58"/>
      <c r="B202" s="58"/>
      <c r="C202" s="58"/>
      <c r="D202" s="58"/>
      <c r="E202" s="58"/>
      <c r="F202" s="69"/>
      <c r="G202" s="58"/>
    </row>
    <row r="203" spans="1:7" ht="21" customHeight="1">
      <c r="A203" s="58"/>
      <c r="B203" s="58"/>
      <c r="C203" s="58"/>
      <c r="D203" s="58"/>
      <c r="E203" s="58"/>
      <c r="F203" s="69"/>
      <c r="G203" s="58"/>
    </row>
    <row r="204" spans="1:7" ht="21" customHeight="1">
      <c r="A204" s="58"/>
      <c r="B204" s="58"/>
      <c r="C204" s="58"/>
      <c r="D204" s="58"/>
      <c r="E204" s="58"/>
      <c r="F204" s="69"/>
      <c r="G204" s="58"/>
    </row>
    <row r="205" spans="1:7" ht="21" customHeight="1">
      <c r="A205" s="58"/>
      <c r="B205" s="58"/>
      <c r="C205" s="58"/>
      <c r="D205" s="58"/>
      <c r="E205" s="58"/>
      <c r="F205" s="69"/>
      <c r="G205" s="58"/>
    </row>
    <row r="206" spans="1:7" ht="21" customHeight="1">
      <c r="A206" s="58"/>
      <c r="B206" s="58"/>
      <c r="C206" s="58"/>
      <c r="D206" s="58"/>
      <c r="E206" s="58"/>
      <c r="F206" s="69"/>
      <c r="G206" s="58"/>
    </row>
    <row r="207" spans="1:7" ht="21" customHeight="1">
      <c r="A207" s="58"/>
      <c r="B207" s="58"/>
      <c r="C207" s="58"/>
      <c r="D207" s="58"/>
      <c r="E207" s="58"/>
      <c r="F207" s="69"/>
      <c r="G207" s="58"/>
    </row>
    <row r="208" spans="1:7" ht="21" customHeight="1">
      <c r="A208" s="58"/>
      <c r="B208" s="58"/>
      <c r="C208" s="58"/>
      <c r="D208" s="58"/>
      <c r="E208" s="58"/>
      <c r="F208" s="69"/>
      <c r="G208" s="58"/>
    </row>
    <row r="209" spans="1:7" ht="21" customHeight="1">
      <c r="A209" s="58"/>
      <c r="B209" s="58"/>
      <c r="C209" s="58"/>
      <c r="D209" s="58"/>
      <c r="E209" s="58"/>
      <c r="F209" s="69"/>
      <c r="G209" s="58"/>
    </row>
    <row r="210" spans="1:7" ht="21" customHeight="1">
      <c r="A210" s="58"/>
      <c r="B210" s="58"/>
      <c r="C210" s="58"/>
      <c r="D210" s="58"/>
      <c r="E210" s="58"/>
      <c r="F210" s="69"/>
      <c r="G210" s="58"/>
    </row>
    <row r="211" spans="1:7" ht="21" customHeight="1">
      <c r="A211" s="58"/>
      <c r="B211" s="58"/>
      <c r="C211" s="58"/>
      <c r="D211" s="58"/>
      <c r="E211" s="58"/>
      <c r="F211" s="69"/>
      <c r="G211" s="58"/>
    </row>
    <row r="212" spans="1:7" ht="21" customHeight="1">
      <c r="A212" s="58"/>
      <c r="B212" s="58"/>
      <c r="C212" s="58"/>
      <c r="D212" s="58"/>
      <c r="E212" s="58"/>
      <c r="F212" s="69"/>
      <c r="G212" s="58"/>
    </row>
    <row r="213" spans="1:7" ht="21" customHeight="1">
      <c r="A213" s="58"/>
      <c r="B213" s="58"/>
      <c r="C213" s="58"/>
      <c r="D213" s="58"/>
      <c r="E213" s="58"/>
      <c r="F213" s="69"/>
      <c r="G213" s="58"/>
    </row>
    <row r="214" spans="1:7" ht="21" customHeight="1">
      <c r="A214" s="58"/>
      <c r="B214" s="58"/>
      <c r="C214" s="58"/>
      <c r="D214" s="58"/>
      <c r="E214" s="58"/>
      <c r="F214" s="69"/>
      <c r="G214" s="58"/>
    </row>
    <row r="215" spans="1:7" ht="21" customHeight="1">
      <c r="A215" s="58"/>
      <c r="B215" s="58"/>
      <c r="C215" s="58"/>
      <c r="D215" s="58"/>
      <c r="E215" s="58"/>
      <c r="F215" s="69"/>
      <c r="G215" s="58"/>
    </row>
    <row r="216" spans="1:7" ht="21" customHeight="1">
      <c r="A216" s="58"/>
      <c r="B216" s="58"/>
      <c r="C216" s="58"/>
      <c r="D216" s="58"/>
      <c r="E216" s="58"/>
      <c r="F216" s="69"/>
      <c r="G216" s="58"/>
    </row>
    <row r="217" spans="1:7" ht="21" customHeight="1">
      <c r="A217" s="58"/>
      <c r="B217" s="58"/>
      <c r="C217" s="58"/>
      <c r="D217" s="58"/>
      <c r="E217" s="58"/>
      <c r="F217" s="69"/>
      <c r="G217" s="58"/>
    </row>
    <row r="218" spans="1:7" ht="21" customHeight="1">
      <c r="A218" s="58"/>
      <c r="B218" s="58"/>
      <c r="C218" s="58"/>
      <c r="D218" s="58"/>
      <c r="E218" s="58"/>
      <c r="F218" s="69"/>
      <c r="G218" s="58"/>
    </row>
    <row r="219" spans="1:7" ht="21" customHeight="1">
      <c r="A219" s="58"/>
      <c r="B219" s="58"/>
      <c r="C219" s="58"/>
      <c r="D219" s="58"/>
      <c r="E219" s="58"/>
      <c r="F219" s="69"/>
      <c r="G219" s="58"/>
    </row>
    <row r="220" spans="1:7" ht="21" customHeight="1">
      <c r="A220" s="58"/>
      <c r="B220" s="58"/>
      <c r="C220" s="58"/>
      <c r="D220" s="58"/>
      <c r="E220" s="58"/>
      <c r="F220" s="69"/>
      <c r="G220" s="58"/>
    </row>
    <row r="221" spans="1:7" ht="21" customHeight="1">
      <c r="A221" s="58"/>
      <c r="B221" s="58"/>
      <c r="C221" s="58"/>
      <c r="D221" s="58"/>
      <c r="E221" s="58"/>
      <c r="F221" s="69"/>
      <c r="G221" s="58"/>
    </row>
    <row r="222" spans="1:7" ht="21" customHeight="1">
      <c r="A222" s="58"/>
      <c r="B222" s="58"/>
      <c r="C222" s="58"/>
      <c r="D222" s="58"/>
      <c r="E222" s="58"/>
      <c r="F222" s="69"/>
      <c r="G222" s="58"/>
    </row>
    <row r="223" spans="1:7" ht="21" customHeight="1">
      <c r="A223" s="58"/>
      <c r="B223" s="58"/>
      <c r="C223" s="58"/>
      <c r="D223" s="58"/>
      <c r="E223" s="58"/>
      <c r="F223" s="69"/>
      <c r="G223" s="58"/>
    </row>
    <row r="224" spans="1:7" ht="21" customHeight="1">
      <c r="A224" s="58"/>
      <c r="B224" s="58"/>
      <c r="C224" s="58"/>
      <c r="D224" s="58"/>
      <c r="E224" s="58"/>
      <c r="F224" s="69"/>
      <c r="G224" s="58"/>
    </row>
    <row r="225" spans="1:7" ht="21" customHeight="1">
      <c r="A225" s="58"/>
      <c r="B225" s="58"/>
      <c r="C225" s="58"/>
      <c r="D225" s="58"/>
      <c r="E225" s="58"/>
      <c r="F225" s="69"/>
      <c r="G225" s="58"/>
    </row>
    <row r="226" spans="1:7" ht="21" customHeight="1">
      <c r="A226" s="58"/>
      <c r="B226" s="58"/>
      <c r="C226" s="58"/>
      <c r="D226" s="58"/>
      <c r="E226" s="58"/>
      <c r="F226" s="69"/>
      <c r="G226" s="58"/>
    </row>
    <row r="227" spans="1:7" ht="21" customHeight="1">
      <c r="B227" s="70"/>
      <c r="F227" s="66"/>
    </row>
    <row r="228" spans="1:7" ht="21" customHeight="1">
      <c r="B228" s="70"/>
      <c r="F228" s="66"/>
    </row>
    <row r="229" spans="1:7" ht="21" customHeight="1">
      <c r="B229" s="70"/>
      <c r="F229" s="66"/>
    </row>
    <row r="230" spans="1:7" ht="21" customHeight="1">
      <c r="B230" s="70"/>
      <c r="F230" s="66"/>
    </row>
    <row r="231" spans="1:7" ht="21" customHeight="1">
      <c r="B231" s="70"/>
      <c r="F231" s="66"/>
    </row>
    <row r="232" spans="1:7" ht="21" customHeight="1">
      <c r="B232" s="70"/>
      <c r="F232" s="66"/>
    </row>
    <row r="233" spans="1:7" ht="21" customHeight="1">
      <c r="B233" s="70"/>
      <c r="F233" s="66"/>
    </row>
    <row r="234" spans="1:7" ht="21" customHeight="1">
      <c r="B234" s="70"/>
      <c r="F234" s="66"/>
    </row>
    <row r="235" spans="1:7" ht="21" customHeight="1">
      <c r="B235" s="70"/>
      <c r="F235" s="66"/>
    </row>
    <row r="236" spans="1:7" ht="21" customHeight="1">
      <c r="B236" s="70"/>
      <c r="F236" s="66"/>
    </row>
    <row r="237" spans="1:7" ht="21" customHeight="1">
      <c r="B237" s="70"/>
      <c r="F237" s="66"/>
    </row>
    <row r="238" spans="1:7" ht="21" customHeight="1">
      <c r="B238" s="70"/>
      <c r="F238" s="66"/>
    </row>
    <row r="239" spans="1:7" ht="21" customHeight="1">
      <c r="B239" s="70"/>
      <c r="F239" s="66"/>
    </row>
    <row r="240" spans="1:7" ht="21" customHeight="1">
      <c r="B240" s="70"/>
      <c r="F240" s="66"/>
    </row>
    <row r="241" spans="2:6" ht="21" customHeight="1">
      <c r="B241" s="70"/>
      <c r="F241" s="66"/>
    </row>
    <row r="242" spans="2:6" ht="21" customHeight="1">
      <c r="B242" s="70"/>
      <c r="F242" s="66"/>
    </row>
    <row r="243" spans="2:6" ht="21" customHeight="1">
      <c r="B243" s="70"/>
      <c r="F243" s="66"/>
    </row>
    <row r="244" spans="2:6" ht="21" customHeight="1">
      <c r="B244" s="70"/>
      <c r="F244" s="66"/>
    </row>
    <row r="245" spans="2:6" ht="21" customHeight="1">
      <c r="B245" s="70"/>
      <c r="F245" s="66"/>
    </row>
    <row r="246" spans="2:6" ht="21" customHeight="1">
      <c r="B246" s="70"/>
      <c r="F246" s="66"/>
    </row>
    <row r="247" spans="2:6" ht="21" customHeight="1">
      <c r="B247" s="70"/>
      <c r="F247" s="66"/>
    </row>
    <row r="248" spans="2:6" ht="21" customHeight="1">
      <c r="B248" s="70"/>
      <c r="F248" s="66"/>
    </row>
    <row r="249" spans="2:6" ht="21" customHeight="1">
      <c r="B249" s="70"/>
      <c r="F249" s="66"/>
    </row>
    <row r="250" spans="2:6" ht="21" customHeight="1">
      <c r="B250" s="70"/>
      <c r="F250" s="66"/>
    </row>
    <row r="251" spans="2:6" ht="21" customHeight="1">
      <c r="B251" s="70"/>
      <c r="F251" s="66"/>
    </row>
    <row r="252" spans="2:6" ht="21" customHeight="1">
      <c r="B252" s="70"/>
      <c r="F252" s="66"/>
    </row>
    <row r="253" spans="2:6" ht="21" customHeight="1">
      <c r="B253" s="70"/>
      <c r="F253" s="66"/>
    </row>
    <row r="254" spans="2:6" ht="21" customHeight="1">
      <c r="B254" s="70"/>
      <c r="F254" s="66"/>
    </row>
    <row r="255" spans="2:6" ht="21" customHeight="1">
      <c r="B255" s="70"/>
      <c r="F255" s="66"/>
    </row>
    <row r="256" spans="2:6" ht="21" customHeight="1">
      <c r="B256" s="70"/>
      <c r="F256" s="66"/>
    </row>
    <row r="257" spans="2:6" ht="21" customHeight="1">
      <c r="B257" s="70"/>
      <c r="F257" s="66"/>
    </row>
    <row r="258" spans="2:6" ht="21" customHeight="1">
      <c r="B258" s="70"/>
      <c r="F258" s="66"/>
    </row>
    <row r="259" spans="2:6" ht="21" customHeight="1">
      <c r="B259" s="70"/>
      <c r="F259" s="66"/>
    </row>
    <row r="260" spans="2:6" ht="21" customHeight="1">
      <c r="B260" s="70"/>
      <c r="F260" s="66"/>
    </row>
    <row r="261" spans="2:6" ht="21" customHeight="1">
      <c r="B261" s="70"/>
      <c r="F261" s="66"/>
    </row>
    <row r="262" spans="2:6" ht="21" customHeight="1">
      <c r="B262" s="70"/>
      <c r="F262" s="66"/>
    </row>
    <row r="263" spans="2:6" ht="21" customHeight="1">
      <c r="B263" s="70"/>
      <c r="F263" s="66"/>
    </row>
    <row r="264" spans="2:6" ht="21" customHeight="1">
      <c r="B264" s="70"/>
      <c r="F264" s="66"/>
    </row>
    <row r="265" spans="2:6" ht="21" customHeight="1">
      <c r="B265" s="70"/>
      <c r="F265" s="66"/>
    </row>
    <row r="266" spans="2:6" ht="21" customHeight="1">
      <c r="B266" s="70"/>
      <c r="F266" s="66"/>
    </row>
    <row r="267" spans="2:6" ht="21" customHeight="1">
      <c r="B267" s="70"/>
      <c r="F267" s="66"/>
    </row>
    <row r="268" spans="2:6" ht="21" customHeight="1">
      <c r="B268" s="70"/>
      <c r="F268" s="66"/>
    </row>
    <row r="269" spans="2:6" ht="21" customHeight="1">
      <c r="B269" s="70"/>
      <c r="F269" s="66"/>
    </row>
    <row r="270" spans="2:6" ht="21" customHeight="1">
      <c r="B270" s="70"/>
      <c r="F270" s="66"/>
    </row>
    <row r="271" spans="2:6" ht="21" customHeight="1">
      <c r="B271" s="70"/>
      <c r="F271" s="66"/>
    </row>
    <row r="272" spans="2:6" ht="21" customHeight="1">
      <c r="B272" s="70"/>
      <c r="F272" s="66"/>
    </row>
    <row r="273" spans="2:6" ht="21" customHeight="1">
      <c r="B273" s="70"/>
      <c r="F273" s="66"/>
    </row>
    <row r="274" spans="2:6" ht="21" customHeight="1">
      <c r="B274" s="70"/>
      <c r="F274" s="66"/>
    </row>
    <row r="275" spans="2:6" ht="21" customHeight="1">
      <c r="B275" s="70"/>
      <c r="F275" s="66"/>
    </row>
    <row r="276" spans="2:6" ht="21" customHeight="1">
      <c r="B276" s="70"/>
      <c r="F276" s="66"/>
    </row>
    <row r="277" spans="2:6" ht="21" customHeight="1">
      <c r="B277" s="70"/>
      <c r="F277" s="66"/>
    </row>
    <row r="278" spans="2:6" ht="21" customHeight="1">
      <c r="B278" s="70"/>
      <c r="F278" s="66"/>
    </row>
    <row r="279" spans="2:6" ht="21" customHeight="1">
      <c r="B279" s="70"/>
      <c r="F279" s="66"/>
    </row>
    <row r="280" spans="2:6" ht="21" customHeight="1">
      <c r="B280" s="70"/>
      <c r="F280" s="66"/>
    </row>
    <row r="281" spans="2:6" ht="21" customHeight="1">
      <c r="B281" s="70"/>
      <c r="F281" s="66"/>
    </row>
    <row r="282" spans="2:6" ht="21" customHeight="1">
      <c r="B282" s="70"/>
      <c r="F282" s="66"/>
    </row>
    <row r="283" spans="2:6" ht="21" customHeight="1">
      <c r="B283" s="70"/>
      <c r="F283" s="66"/>
    </row>
    <row r="284" spans="2:6" ht="21" customHeight="1">
      <c r="B284" s="70"/>
      <c r="F284" s="66"/>
    </row>
    <row r="285" spans="2:6" ht="21" customHeight="1">
      <c r="B285" s="70"/>
      <c r="F285" s="66"/>
    </row>
    <row r="286" spans="2:6" ht="21" customHeight="1">
      <c r="B286" s="70"/>
      <c r="F286" s="66"/>
    </row>
    <row r="287" spans="2:6" ht="21" customHeight="1">
      <c r="B287" s="70"/>
      <c r="F287" s="66"/>
    </row>
    <row r="288" spans="2:6" ht="21" customHeight="1">
      <c r="B288" s="70"/>
      <c r="F288" s="66"/>
    </row>
    <row r="289" spans="2:6" ht="21" customHeight="1">
      <c r="B289" s="70"/>
      <c r="F289" s="66"/>
    </row>
    <row r="290" spans="2:6" ht="21" customHeight="1">
      <c r="B290" s="70"/>
      <c r="F290" s="66"/>
    </row>
    <row r="291" spans="2:6" ht="21" customHeight="1">
      <c r="B291" s="70"/>
      <c r="F291" s="66"/>
    </row>
    <row r="292" spans="2:6" ht="21" customHeight="1">
      <c r="B292" s="70"/>
      <c r="F292" s="66"/>
    </row>
    <row r="293" spans="2:6" ht="21" customHeight="1">
      <c r="B293" s="70"/>
      <c r="F293" s="66"/>
    </row>
    <row r="294" spans="2:6" ht="21" customHeight="1">
      <c r="B294" s="70"/>
      <c r="F294" s="66"/>
    </row>
    <row r="295" spans="2:6" ht="21" customHeight="1">
      <c r="B295" s="70"/>
      <c r="F295" s="66"/>
    </row>
    <row r="296" spans="2:6" ht="21" customHeight="1">
      <c r="B296" s="70"/>
      <c r="F296" s="66"/>
    </row>
    <row r="297" spans="2:6" ht="21" customHeight="1">
      <c r="B297" s="70"/>
      <c r="F297" s="66"/>
    </row>
    <row r="298" spans="2:6" ht="21" customHeight="1">
      <c r="B298" s="70"/>
      <c r="F298" s="66"/>
    </row>
    <row r="299" spans="2:6" ht="21" customHeight="1">
      <c r="B299" s="70"/>
      <c r="F299" s="66"/>
    </row>
    <row r="300" spans="2:6" ht="21" customHeight="1">
      <c r="B300" s="70"/>
      <c r="F300" s="66"/>
    </row>
    <row r="301" spans="2:6" ht="21" customHeight="1">
      <c r="B301" s="70"/>
      <c r="F301" s="66"/>
    </row>
    <row r="302" spans="2:6" ht="21" customHeight="1">
      <c r="B302" s="70"/>
      <c r="F302" s="66"/>
    </row>
    <row r="303" spans="2:6" ht="21" customHeight="1">
      <c r="B303" s="70"/>
      <c r="F303" s="66"/>
    </row>
    <row r="304" spans="2:6" ht="21" customHeight="1">
      <c r="B304" s="70"/>
      <c r="F304" s="66"/>
    </row>
    <row r="305" spans="2:6" ht="21" customHeight="1">
      <c r="B305" s="70"/>
      <c r="F305" s="66"/>
    </row>
    <row r="306" spans="2:6" ht="21" customHeight="1">
      <c r="B306" s="70"/>
      <c r="F306" s="66"/>
    </row>
    <row r="307" spans="2:6" ht="21" customHeight="1">
      <c r="B307" s="70"/>
      <c r="F307" s="66"/>
    </row>
    <row r="308" spans="2:6" ht="21" customHeight="1">
      <c r="B308" s="70"/>
      <c r="F308" s="66"/>
    </row>
    <row r="309" spans="2:6" ht="21" customHeight="1">
      <c r="B309" s="70"/>
      <c r="F309" s="66"/>
    </row>
    <row r="310" spans="2:6" ht="21" customHeight="1">
      <c r="B310" s="70"/>
      <c r="F310" s="66"/>
    </row>
    <row r="311" spans="2:6" ht="21" customHeight="1">
      <c r="B311" s="70"/>
      <c r="F311" s="66"/>
    </row>
    <row r="312" spans="2:6" ht="21" customHeight="1">
      <c r="B312" s="70"/>
      <c r="F312" s="66"/>
    </row>
    <row r="313" spans="2:6" ht="21" customHeight="1">
      <c r="B313" s="70"/>
      <c r="F313" s="66"/>
    </row>
    <row r="314" spans="2:6" ht="21" customHeight="1">
      <c r="B314" s="70"/>
      <c r="F314" s="66"/>
    </row>
    <row r="315" spans="2:6" ht="21" customHeight="1">
      <c r="B315" s="70"/>
      <c r="F315" s="66"/>
    </row>
    <row r="316" spans="2:6" ht="21" customHeight="1">
      <c r="B316" s="70"/>
      <c r="F316" s="66"/>
    </row>
    <row r="317" spans="2:6" ht="21" customHeight="1">
      <c r="B317" s="70"/>
      <c r="F317" s="66"/>
    </row>
    <row r="318" spans="2:6" ht="21" customHeight="1">
      <c r="B318" s="70"/>
      <c r="F318" s="66"/>
    </row>
    <row r="319" spans="2:6" ht="21" customHeight="1">
      <c r="B319" s="70"/>
      <c r="F319" s="66"/>
    </row>
    <row r="320" spans="2:6" ht="21" customHeight="1">
      <c r="B320" s="70"/>
      <c r="F320" s="66"/>
    </row>
    <row r="321" spans="2:6" ht="21" customHeight="1">
      <c r="B321" s="70"/>
      <c r="F321" s="66"/>
    </row>
    <row r="322" spans="2:6" ht="21" customHeight="1">
      <c r="B322" s="70"/>
      <c r="F322" s="66"/>
    </row>
    <row r="323" spans="2:6" ht="21" customHeight="1">
      <c r="B323" s="70"/>
      <c r="F323" s="66"/>
    </row>
    <row r="324" spans="2:6" ht="21" customHeight="1">
      <c r="B324" s="70"/>
      <c r="F324" s="66"/>
    </row>
    <row r="325" spans="2:6" ht="21" customHeight="1">
      <c r="B325" s="70"/>
      <c r="F325" s="66"/>
    </row>
    <row r="326" spans="2:6" ht="21" customHeight="1">
      <c r="B326" s="70"/>
      <c r="F326" s="66"/>
    </row>
    <row r="327" spans="2:6" ht="21" customHeight="1">
      <c r="B327" s="70"/>
      <c r="F327" s="66"/>
    </row>
    <row r="328" spans="2:6" ht="21" customHeight="1">
      <c r="B328" s="70"/>
      <c r="F328" s="66"/>
    </row>
    <row r="329" spans="2:6" ht="21" customHeight="1">
      <c r="B329" s="70"/>
      <c r="F329" s="66"/>
    </row>
    <row r="330" spans="2:6" ht="21" customHeight="1">
      <c r="B330" s="70"/>
      <c r="F330" s="66"/>
    </row>
    <row r="331" spans="2:6" ht="21" customHeight="1">
      <c r="B331" s="70"/>
      <c r="F331" s="66"/>
    </row>
    <row r="332" spans="2:6" ht="21" customHeight="1">
      <c r="B332" s="70"/>
      <c r="F332" s="66"/>
    </row>
    <row r="333" spans="2:6" ht="21" customHeight="1">
      <c r="B333" s="70"/>
      <c r="F333" s="66"/>
    </row>
    <row r="334" spans="2:6" ht="21" customHeight="1">
      <c r="B334" s="70"/>
      <c r="F334" s="66"/>
    </row>
    <row r="335" spans="2:6" ht="21" customHeight="1">
      <c r="B335" s="70"/>
      <c r="F335" s="66"/>
    </row>
    <row r="336" spans="2:6" ht="21" customHeight="1">
      <c r="B336" s="70"/>
      <c r="F336" s="66"/>
    </row>
    <row r="337" spans="2:6" ht="21" customHeight="1">
      <c r="B337" s="70"/>
      <c r="F337" s="66"/>
    </row>
    <row r="338" spans="2:6" ht="21" customHeight="1">
      <c r="B338" s="70"/>
      <c r="F338" s="66"/>
    </row>
    <row r="339" spans="2:6" ht="21" customHeight="1">
      <c r="B339" s="70"/>
      <c r="F339" s="66"/>
    </row>
    <row r="340" spans="2:6" ht="21" customHeight="1">
      <c r="B340" s="70"/>
      <c r="F340" s="66"/>
    </row>
    <row r="341" spans="2:6" ht="21" customHeight="1">
      <c r="B341" s="70"/>
      <c r="F341" s="66"/>
    </row>
    <row r="342" spans="2:6" ht="21" customHeight="1">
      <c r="B342" s="70"/>
      <c r="F342" s="66"/>
    </row>
    <row r="343" spans="2:6" ht="21" customHeight="1">
      <c r="B343" s="70"/>
      <c r="F343" s="66"/>
    </row>
    <row r="344" spans="2:6" ht="21" customHeight="1">
      <c r="B344" s="70"/>
      <c r="F344" s="66"/>
    </row>
    <row r="345" spans="2:6" ht="21" customHeight="1">
      <c r="B345" s="70"/>
      <c r="F345" s="66"/>
    </row>
    <row r="346" spans="2:6" ht="21" customHeight="1">
      <c r="B346" s="70"/>
      <c r="F346" s="66"/>
    </row>
    <row r="347" spans="2:6" ht="21" customHeight="1">
      <c r="B347" s="70"/>
      <c r="F347" s="66"/>
    </row>
    <row r="348" spans="2:6" ht="21" customHeight="1">
      <c r="B348" s="70"/>
      <c r="F348" s="66"/>
    </row>
    <row r="349" spans="2:6" ht="21" customHeight="1">
      <c r="B349" s="70"/>
      <c r="F349" s="66"/>
    </row>
    <row r="350" spans="2:6" ht="21" customHeight="1">
      <c r="B350" s="70"/>
      <c r="F350" s="66"/>
    </row>
    <row r="351" spans="2:6" ht="21" customHeight="1">
      <c r="B351" s="70"/>
      <c r="F351" s="66"/>
    </row>
    <row r="352" spans="2:6" ht="21" customHeight="1">
      <c r="B352" s="70"/>
      <c r="F352" s="66"/>
    </row>
    <row r="353" spans="2:6" ht="21" customHeight="1">
      <c r="B353" s="70"/>
      <c r="F353" s="66"/>
    </row>
    <row r="354" spans="2:6" ht="21" customHeight="1">
      <c r="B354" s="70"/>
      <c r="F354" s="66"/>
    </row>
    <row r="355" spans="2:6" ht="21" customHeight="1">
      <c r="B355" s="70"/>
      <c r="F355" s="66"/>
    </row>
    <row r="356" spans="2:6" ht="21" customHeight="1">
      <c r="B356" s="70"/>
      <c r="F356" s="66"/>
    </row>
    <row r="357" spans="2:6" ht="21" customHeight="1">
      <c r="B357" s="70"/>
      <c r="F357" s="66"/>
    </row>
    <row r="358" spans="2:6" ht="21" customHeight="1">
      <c r="B358" s="70"/>
      <c r="F358" s="66"/>
    </row>
    <row r="359" spans="2:6" ht="21" customHeight="1">
      <c r="B359" s="70"/>
      <c r="F359" s="66"/>
    </row>
    <row r="360" spans="2:6" ht="21" customHeight="1">
      <c r="B360" s="70"/>
      <c r="F360" s="66"/>
    </row>
    <row r="361" spans="2:6" ht="21" customHeight="1">
      <c r="B361" s="70"/>
      <c r="F361" s="66"/>
    </row>
    <row r="362" spans="2:6" ht="21" customHeight="1">
      <c r="B362" s="70"/>
      <c r="F362" s="66"/>
    </row>
    <row r="363" spans="2:6" ht="21" customHeight="1">
      <c r="B363" s="70"/>
      <c r="F363" s="66"/>
    </row>
    <row r="364" spans="2:6" ht="21" customHeight="1">
      <c r="B364" s="70"/>
      <c r="F364" s="66"/>
    </row>
    <row r="365" spans="2:6" ht="21" customHeight="1">
      <c r="B365" s="70"/>
      <c r="F365" s="66"/>
    </row>
    <row r="366" spans="2:6" ht="21" customHeight="1">
      <c r="B366" s="70"/>
      <c r="F366" s="66"/>
    </row>
    <row r="367" spans="2:6" ht="21" customHeight="1">
      <c r="B367" s="70"/>
      <c r="F367" s="66"/>
    </row>
    <row r="368" spans="2:6" ht="21" customHeight="1">
      <c r="B368" s="70"/>
      <c r="F368" s="66"/>
    </row>
    <row r="369" spans="2:6" ht="21" customHeight="1">
      <c r="B369" s="70"/>
      <c r="F369" s="66"/>
    </row>
    <row r="370" spans="2:6" ht="21" customHeight="1">
      <c r="B370" s="70"/>
      <c r="F370" s="66"/>
    </row>
    <row r="371" spans="2:6" ht="21" customHeight="1">
      <c r="B371" s="70"/>
      <c r="F371" s="66"/>
    </row>
    <row r="372" spans="2:6" ht="21" customHeight="1">
      <c r="B372" s="70"/>
      <c r="F372" s="66"/>
    </row>
    <row r="373" spans="2:6" ht="21" customHeight="1">
      <c r="B373" s="70"/>
      <c r="F373" s="66"/>
    </row>
    <row r="374" spans="2:6" ht="21" customHeight="1">
      <c r="B374" s="70"/>
      <c r="F374" s="66"/>
    </row>
    <row r="375" spans="2:6" ht="21" customHeight="1">
      <c r="B375" s="70"/>
      <c r="F375" s="66"/>
    </row>
    <row r="376" spans="2:6" ht="21" customHeight="1">
      <c r="B376" s="70"/>
      <c r="F376" s="66"/>
    </row>
    <row r="377" spans="2:6" ht="21" customHeight="1">
      <c r="B377" s="70"/>
      <c r="F377" s="66"/>
    </row>
    <row r="378" spans="2:6" ht="21" customHeight="1">
      <c r="B378" s="70"/>
      <c r="F378" s="66"/>
    </row>
    <row r="379" spans="2:6" ht="21" customHeight="1">
      <c r="B379" s="70"/>
      <c r="F379" s="66"/>
    </row>
    <row r="380" spans="2:6" ht="21" customHeight="1">
      <c r="B380" s="70"/>
      <c r="F380" s="66"/>
    </row>
    <row r="381" spans="2:6" ht="21" customHeight="1">
      <c r="B381" s="70"/>
      <c r="F381" s="66"/>
    </row>
    <row r="382" spans="2:6" ht="21" customHeight="1">
      <c r="B382" s="70"/>
      <c r="F382" s="66"/>
    </row>
    <row r="383" spans="2:6" ht="21" customHeight="1">
      <c r="B383" s="70"/>
      <c r="F383" s="66"/>
    </row>
    <row r="384" spans="2:6" ht="21" customHeight="1">
      <c r="B384" s="70"/>
      <c r="F384" s="66"/>
    </row>
    <row r="385" spans="2:6" ht="21" customHeight="1">
      <c r="B385" s="70"/>
      <c r="F385" s="66"/>
    </row>
    <row r="386" spans="2:6" ht="21" customHeight="1">
      <c r="B386" s="70"/>
      <c r="F386" s="66"/>
    </row>
    <row r="387" spans="2:6" ht="21" customHeight="1">
      <c r="B387" s="70"/>
      <c r="F387" s="66"/>
    </row>
    <row r="388" spans="2:6" ht="21" customHeight="1">
      <c r="B388" s="70"/>
      <c r="F388" s="66"/>
    </row>
    <row r="389" spans="2:6" ht="21" customHeight="1">
      <c r="B389" s="70"/>
      <c r="F389" s="66"/>
    </row>
    <row r="390" spans="2:6" ht="21" customHeight="1">
      <c r="B390" s="70"/>
      <c r="F390" s="66"/>
    </row>
    <row r="391" spans="2:6" ht="21" customHeight="1">
      <c r="B391" s="70"/>
      <c r="F391" s="66"/>
    </row>
    <row r="392" spans="2:6" ht="21" customHeight="1">
      <c r="B392" s="70"/>
      <c r="F392" s="66"/>
    </row>
    <row r="393" spans="2:6" ht="21" customHeight="1">
      <c r="B393" s="70"/>
      <c r="F393" s="66"/>
    </row>
    <row r="394" spans="2:6" ht="21" customHeight="1">
      <c r="B394" s="70"/>
      <c r="F394" s="66"/>
    </row>
    <row r="395" spans="2:6" ht="21" customHeight="1">
      <c r="B395" s="70"/>
      <c r="F395" s="66"/>
    </row>
    <row r="396" spans="2:6" ht="21" customHeight="1">
      <c r="B396" s="70"/>
      <c r="F396" s="66"/>
    </row>
    <row r="397" spans="2:6" ht="21" customHeight="1">
      <c r="B397" s="70"/>
      <c r="F397" s="66"/>
    </row>
    <row r="398" spans="2:6" ht="21" customHeight="1">
      <c r="B398" s="70"/>
      <c r="F398" s="66"/>
    </row>
    <row r="399" spans="2:6" ht="21" customHeight="1">
      <c r="B399" s="70"/>
      <c r="F399" s="66"/>
    </row>
    <row r="400" spans="2:6" ht="21" customHeight="1">
      <c r="B400" s="70"/>
      <c r="F400" s="66"/>
    </row>
    <row r="401" spans="2:6" ht="21" customHeight="1">
      <c r="B401" s="70"/>
      <c r="F401" s="66"/>
    </row>
    <row r="402" spans="2:6" ht="21" customHeight="1">
      <c r="B402" s="70"/>
      <c r="F402" s="66"/>
    </row>
    <row r="403" spans="2:6" ht="21" customHeight="1">
      <c r="B403" s="70"/>
      <c r="F403" s="66"/>
    </row>
    <row r="404" spans="2:6" ht="21" customHeight="1">
      <c r="B404" s="70"/>
      <c r="F404" s="66"/>
    </row>
    <row r="405" spans="2:6" ht="21" customHeight="1">
      <c r="B405" s="70"/>
      <c r="F405" s="66"/>
    </row>
    <row r="406" spans="2:6" ht="21" customHeight="1">
      <c r="B406" s="70"/>
      <c r="F406" s="66"/>
    </row>
    <row r="407" spans="2:6" ht="21" customHeight="1">
      <c r="B407" s="70"/>
      <c r="F407" s="66"/>
    </row>
    <row r="408" spans="2:6" ht="21" customHeight="1">
      <c r="B408" s="70"/>
      <c r="F408" s="66"/>
    </row>
    <row r="409" spans="2:6" ht="21" customHeight="1">
      <c r="B409" s="70"/>
      <c r="F409" s="66"/>
    </row>
    <row r="410" spans="2:6" ht="21" customHeight="1">
      <c r="B410" s="70"/>
      <c r="F410" s="66"/>
    </row>
    <row r="411" spans="2:6" ht="21" customHeight="1">
      <c r="B411" s="70"/>
      <c r="F411" s="66"/>
    </row>
    <row r="412" spans="2:6" ht="21" customHeight="1">
      <c r="B412" s="70"/>
      <c r="F412" s="66"/>
    </row>
    <row r="413" spans="2:6" ht="21" customHeight="1">
      <c r="B413" s="70"/>
      <c r="F413" s="66"/>
    </row>
    <row r="414" spans="2:6" ht="21" customHeight="1">
      <c r="B414" s="70"/>
      <c r="F414" s="66"/>
    </row>
    <row r="415" spans="2:6" ht="21" customHeight="1">
      <c r="B415" s="70"/>
      <c r="F415" s="66"/>
    </row>
    <row r="416" spans="2:6" ht="21" customHeight="1">
      <c r="B416" s="70"/>
      <c r="F416" s="66"/>
    </row>
    <row r="417" spans="2:6" ht="21" customHeight="1">
      <c r="B417" s="70"/>
      <c r="F417" s="66"/>
    </row>
    <row r="418" spans="2:6" ht="21" customHeight="1">
      <c r="B418" s="70"/>
      <c r="F418" s="66"/>
    </row>
    <row r="419" spans="2:6" ht="21" customHeight="1">
      <c r="B419" s="70"/>
      <c r="F419" s="66"/>
    </row>
    <row r="420" spans="2:6" ht="21" customHeight="1">
      <c r="B420" s="70"/>
      <c r="F420" s="66"/>
    </row>
    <row r="421" spans="2:6" ht="21" customHeight="1">
      <c r="B421" s="70"/>
      <c r="F421" s="66"/>
    </row>
    <row r="422" spans="2:6" ht="21" customHeight="1">
      <c r="B422" s="70"/>
      <c r="F422" s="66"/>
    </row>
    <row r="423" spans="2:6" ht="21" customHeight="1">
      <c r="B423" s="70"/>
      <c r="F423" s="66"/>
    </row>
    <row r="424" spans="2:6" ht="21" customHeight="1">
      <c r="B424" s="70"/>
      <c r="F424" s="66"/>
    </row>
    <row r="425" spans="2:6" ht="21" customHeight="1">
      <c r="B425" s="70"/>
      <c r="F425" s="66"/>
    </row>
    <row r="426" spans="2:6" ht="21" customHeight="1">
      <c r="B426" s="70"/>
      <c r="F426" s="66"/>
    </row>
    <row r="427" spans="2:6" ht="21" customHeight="1">
      <c r="B427" s="70"/>
      <c r="F427" s="66"/>
    </row>
    <row r="428" spans="2:6" ht="21" customHeight="1">
      <c r="B428" s="70"/>
      <c r="F428" s="66"/>
    </row>
    <row r="429" spans="2:6" ht="21" customHeight="1">
      <c r="B429" s="70"/>
      <c r="F429" s="66"/>
    </row>
    <row r="430" spans="2:6" ht="21" customHeight="1">
      <c r="B430" s="70"/>
      <c r="F430" s="66"/>
    </row>
    <row r="431" spans="2:6" ht="21" customHeight="1">
      <c r="B431" s="70"/>
      <c r="F431" s="66"/>
    </row>
    <row r="432" spans="2:6" ht="21" customHeight="1">
      <c r="B432" s="70"/>
      <c r="F432" s="66"/>
    </row>
    <row r="433" spans="2:6" ht="21" customHeight="1">
      <c r="B433" s="70"/>
      <c r="F433" s="66"/>
    </row>
    <row r="434" spans="2:6" ht="21" customHeight="1">
      <c r="B434" s="70"/>
      <c r="F434" s="66"/>
    </row>
    <row r="435" spans="2:6" ht="21" customHeight="1">
      <c r="B435" s="70"/>
      <c r="F435" s="66"/>
    </row>
    <row r="436" spans="2:6" ht="21" customHeight="1">
      <c r="B436" s="70"/>
      <c r="F436" s="66"/>
    </row>
    <row r="437" spans="2:6" ht="21" customHeight="1">
      <c r="B437" s="70"/>
      <c r="F437" s="66"/>
    </row>
    <row r="438" spans="2:6" ht="21" customHeight="1">
      <c r="B438" s="70"/>
      <c r="F438" s="66"/>
    </row>
    <row r="439" spans="2:6" ht="21" customHeight="1">
      <c r="B439" s="70"/>
      <c r="F439" s="66"/>
    </row>
    <row r="440" spans="2:6" ht="21" customHeight="1">
      <c r="B440" s="70"/>
      <c r="F440" s="66"/>
    </row>
    <row r="441" spans="2:6" ht="21" customHeight="1">
      <c r="B441" s="70"/>
      <c r="F441" s="66"/>
    </row>
    <row r="442" spans="2:6" ht="21" customHeight="1">
      <c r="B442" s="70"/>
      <c r="F442" s="66"/>
    </row>
    <row r="443" spans="2:6" ht="21" customHeight="1">
      <c r="B443" s="70"/>
      <c r="F443" s="66"/>
    </row>
    <row r="444" spans="2:6" ht="21" customHeight="1">
      <c r="B444" s="70"/>
      <c r="F444" s="66"/>
    </row>
    <row r="445" spans="2:6" ht="21" customHeight="1">
      <c r="B445" s="70"/>
      <c r="F445" s="66"/>
    </row>
    <row r="446" spans="2:6" ht="21" customHeight="1">
      <c r="B446" s="70"/>
      <c r="F446" s="66"/>
    </row>
    <row r="447" spans="2:6" ht="21" customHeight="1">
      <c r="B447" s="70"/>
      <c r="F447" s="66"/>
    </row>
    <row r="448" spans="2:6" ht="21" customHeight="1">
      <c r="B448" s="70"/>
      <c r="F448" s="66"/>
    </row>
    <row r="449" spans="2:6" ht="21" customHeight="1">
      <c r="B449" s="70"/>
      <c r="F449" s="66"/>
    </row>
    <row r="450" spans="2:6" ht="21" customHeight="1">
      <c r="B450" s="70"/>
      <c r="F450" s="66"/>
    </row>
    <row r="451" spans="2:6" ht="21" customHeight="1">
      <c r="B451" s="70"/>
      <c r="F451" s="66"/>
    </row>
    <row r="452" spans="2:6" ht="21" customHeight="1">
      <c r="B452" s="70"/>
      <c r="F452" s="66"/>
    </row>
    <row r="453" spans="2:6" ht="21" customHeight="1">
      <c r="B453" s="70"/>
      <c r="F453" s="66"/>
    </row>
    <row r="454" spans="2:6" ht="21" customHeight="1">
      <c r="B454" s="70"/>
      <c r="F454" s="66"/>
    </row>
    <row r="455" spans="2:6" ht="21" customHeight="1">
      <c r="B455" s="70"/>
      <c r="F455" s="66"/>
    </row>
    <row r="456" spans="2:6" ht="21" customHeight="1">
      <c r="B456" s="70"/>
      <c r="F456" s="66"/>
    </row>
    <row r="457" spans="2:6" ht="21" customHeight="1">
      <c r="B457" s="70"/>
      <c r="F457" s="66"/>
    </row>
    <row r="458" spans="2:6" ht="21" customHeight="1">
      <c r="B458" s="70"/>
      <c r="F458" s="66"/>
    </row>
    <row r="459" spans="2:6" ht="21" customHeight="1">
      <c r="B459" s="70"/>
      <c r="F459" s="66"/>
    </row>
    <row r="460" spans="2:6" ht="21" customHeight="1">
      <c r="B460" s="70"/>
      <c r="F460" s="66"/>
    </row>
    <row r="461" spans="2:6" ht="21" customHeight="1">
      <c r="B461" s="70"/>
      <c r="F461" s="66"/>
    </row>
    <row r="462" spans="2:6" ht="21" customHeight="1">
      <c r="B462" s="70"/>
      <c r="F462" s="66"/>
    </row>
    <row r="463" spans="2:6" ht="21" customHeight="1">
      <c r="B463" s="70"/>
      <c r="F463" s="66"/>
    </row>
    <row r="464" spans="2:6" ht="21" customHeight="1">
      <c r="B464" s="70"/>
      <c r="F464" s="66"/>
    </row>
    <row r="465" spans="2:6" ht="21" customHeight="1">
      <c r="B465" s="70"/>
      <c r="F465" s="66"/>
    </row>
    <row r="466" spans="2:6" ht="21" customHeight="1">
      <c r="B466" s="70"/>
      <c r="F466" s="66"/>
    </row>
    <row r="467" spans="2:6" ht="21" customHeight="1">
      <c r="B467" s="70"/>
      <c r="F467" s="66"/>
    </row>
    <row r="468" spans="2:6" ht="21" customHeight="1">
      <c r="B468" s="70"/>
      <c r="F468" s="66"/>
    </row>
    <row r="469" spans="2:6" ht="21" customHeight="1">
      <c r="B469" s="70"/>
      <c r="F469" s="66"/>
    </row>
    <row r="470" spans="2:6" ht="21" customHeight="1">
      <c r="B470" s="70"/>
      <c r="F470" s="66"/>
    </row>
    <row r="471" spans="2:6" ht="21" customHeight="1">
      <c r="B471" s="70"/>
      <c r="F471" s="66"/>
    </row>
    <row r="472" spans="2:6" ht="21" customHeight="1">
      <c r="B472" s="70"/>
      <c r="F472" s="66"/>
    </row>
    <row r="473" spans="2:6" ht="21" customHeight="1">
      <c r="B473" s="70"/>
      <c r="F473" s="66"/>
    </row>
    <row r="474" spans="2:6" ht="21" customHeight="1">
      <c r="B474" s="70"/>
      <c r="F474" s="66"/>
    </row>
    <row r="475" spans="2:6" ht="21" customHeight="1">
      <c r="B475" s="70"/>
      <c r="F475" s="66"/>
    </row>
    <row r="476" spans="2:6" ht="21" customHeight="1">
      <c r="B476" s="70"/>
      <c r="F476" s="66"/>
    </row>
    <row r="477" spans="2:6" ht="21" customHeight="1">
      <c r="B477" s="70"/>
      <c r="F477" s="66"/>
    </row>
    <row r="478" spans="2:6" ht="21" customHeight="1">
      <c r="B478" s="70"/>
      <c r="F478" s="66"/>
    </row>
    <row r="479" spans="2:6" ht="21" customHeight="1">
      <c r="B479" s="70"/>
      <c r="F479" s="66"/>
    </row>
    <row r="480" spans="2:6" ht="21" customHeight="1">
      <c r="B480" s="70"/>
      <c r="F480" s="66"/>
    </row>
    <row r="481" spans="2:6" ht="21" customHeight="1">
      <c r="B481" s="70"/>
      <c r="F481" s="66"/>
    </row>
    <row r="482" spans="2:6" ht="21" customHeight="1">
      <c r="B482" s="70"/>
      <c r="F482" s="66"/>
    </row>
    <row r="483" spans="2:6" ht="21" customHeight="1">
      <c r="B483" s="70"/>
      <c r="F483" s="66"/>
    </row>
    <row r="484" spans="2:6" ht="21" customHeight="1">
      <c r="B484" s="70"/>
      <c r="F484" s="66"/>
    </row>
    <row r="485" spans="2:6" ht="21" customHeight="1">
      <c r="B485" s="70"/>
      <c r="F485" s="66"/>
    </row>
    <row r="486" spans="2:6" ht="21" customHeight="1">
      <c r="B486" s="70"/>
      <c r="F486" s="66"/>
    </row>
    <row r="487" spans="2:6" ht="21" customHeight="1">
      <c r="B487" s="70"/>
      <c r="F487" s="66"/>
    </row>
    <row r="488" spans="2:6" ht="21" customHeight="1">
      <c r="B488" s="70"/>
      <c r="F488" s="66"/>
    </row>
    <row r="489" spans="2:6" ht="21" customHeight="1">
      <c r="B489" s="70"/>
      <c r="F489" s="66"/>
    </row>
    <row r="490" spans="2:6" ht="21" customHeight="1">
      <c r="B490" s="70"/>
      <c r="F490" s="66"/>
    </row>
    <row r="491" spans="2:6" ht="21" customHeight="1">
      <c r="B491" s="70"/>
      <c r="F491" s="66"/>
    </row>
    <row r="492" spans="2:6" ht="21" customHeight="1">
      <c r="B492" s="70"/>
      <c r="F492" s="66"/>
    </row>
    <row r="493" spans="2:6" ht="21" customHeight="1">
      <c r="B493" s="70"/>
      <c r="F493" s="66"/>
    </row>
    <row r="494" spans="2:6" ht="21" customHeight="1">
      <c r="B494" s="70"/>
      <c r="F494" s="66"/>
    </row>
    <row r="495" spans="2:6" ht="21" customHeight="1">
      <c r="B495" s="70"/>
      <c r="F495" s="66"/>
    </row>
    <row r="496" spans="2:6" ht="21" customHeight="1">
      <c r="B496" s="70"/>
      <c r="F496" s="66"/>
    </row>
    <row r="497" spans="2:6" ht="21" customHeight="1">
      <c r="B497" s="70"/>
      <c r="F497" s="66"/>
    </row>
    <row r="498" spans="2:6" ht="21" customHeight="1">
      <c r="B498" s="70"/>
      <c r="F498" s="66"/>
    </row>
    <row r="499" spans="2:6" ht="21" customHeight="1">
      <c r="B499" s="70"/>
      <c r="F499" s="66"/>
    </row>
    <row r="500" spans="2:6" ht="21" customHeight="1">
      <c r="B500" s="70"/>
      <c r="F500" s="66"/>
    </row>
    <row r="501" spans="2:6" ht="21" customHeight="1">
      <c r="B501" s="70"/>
      <c r="F501" s="66"/>
    </row>
    <row r="502" spans="2:6" ht="21" customHeight="1">
      <c r="B502" s="70"/>
      <c r="F502" s="66"/>
    </row>
    <row r="503" spans="2:6" ht="21" customHeight="1">
      <c r="B503" s="70"/>
      <c r="F503" s="66"/>
    </row>
    <row r="504" spans="2:6" ht="21" customHeight="1">
      <c r="B504" s="70"/>
      <c r="F504" s="66"/>
    </row>
    <row r="505" spans="2:6" ht="21" customHeight="1">
      <c r="B505" s="70"/>
      <c r="F505" s="66"/>
    </row>
    <row r="506" spans="2:6" ht="21" customHeight="1">
      <c r="B506" s="70"/>
      <c r="F506" s="66"/>
    </row>
    <row r="507" spans="2:6" ht="21" customHeight="1">
      <c r="B507" s="70"/>
      <c r="F507" s="66"/>
    </row>
    <row r="508" spans="2:6" ht="21" customHeight="1">
      <c r="B508" s="70"/>
      <c r="F508" s="66"/>
    </row>
    <row r="509" spans="2:6" ht="21" customHeight="1">
      <c r="B509" s="70"/>
      <c r="F509" s="66"/>
    </row>
    <row r="510" spans="2:6" ht="21" customHeight="1">
      <c r="B510" s="70"/>
      <c r="F510" s="66"/>
    </row>
    <row r="511" spans="2:6" ht="21" customHeight="1">
      <c r="B511" s="70"/>
      <c r="F511" s="66"/>
    </row>
    <row r="512" spans="2:6" ht="21" customHeight="1">
      <c r="B512" s="70"/>
      <c r="F512" s="66"/>
    </row>
    <row r="513" spans="2:6" ht="21" customHeight="1">
      <c r="B513" s="70"/>
      <c r="F513" s="66"/>
    </row>
    <row r="514" spans="2:6" ht="21" customHeight="1">
      <c r="B514" s="70"/>
      <c r="F514" s="66"/>
    </row>
    <row r="515" spans="2:6" ht="21" customHeight="1">
      <c r="B515" s="70"/>
      <c r="F515" s="66"/>
    </row>
    <row r="516" spans="2:6" ht="21" customHeight="1">
      <c r="B516" s="70"/>
      <c r="F516" s="66"/>
    </row>
    <row r="517" spans="2:6" ht="21" customHeight="1">
      <c r="B517" s="70"/>
      <c r="F517" s="66"/>
    </row>
    <row r="518" spans="2:6" ht="21" customHeight="1">
      <c r="B518" s="70"/>
      <c r="F518" s="66"/>
    </row>
    <row r="519" spans="2:6" ht="21" customHeight="1">
      <c r="B519" s="70"/>
      <c r="F519" s="66"/>
    </row>
    <row r="520" spans="2:6" ht="21" customHeight="1">
      <c r="B520" s="70"/>
      <c r="F520" s="66"/>
    </row>
    <row r="521" spans="2:6" ht="21" customHeight="1">
      <c r="B521" s="70"/>
      <c r="F521" s="66"/>
    </row>
    <row r="522" spans="2:6" ht="21" customHeight="1">
      <c r="B522" s="70"/>
      <c r="F522" s="66"/>
    </row>
    <row r="523" spans="2:6" ht="21" customHeight="1">
      <c r="B523" s="70"/>
      <c r="F523" s="66"/>
    </row>
    <row r="524" spans="2:6" ht="21" customHeight="1">
      <c r="B524" s="70"/>
      <c r="F524" s="66"/>
    </row>
    <row r="525" spans="2:6" ht="21" customHeight="1">
      <c r="B525" s="70"/>
      <c r="F525" s="66"/>
    </row>
    <row r="526" spans="2:6" ht="21" customHeight="1">
      <c r="B526" s="70"/>
      <c r="F526" s="66"/>
    </row>
    <row r="527" spans="2:6" ht="21" customHeight="1">
      <c r="B527" s="70"/>
      <c r="F527" s="66"/>
    </row>
    <row r="528" spans="2:6" ht="21" customHeight="1">
      <c r="B528" s="70"/>
      <c r="F528" s="66"/>
    </row>
    <row r="529" spans="2:6" ht="21" customHeight="1">
      <c r="B529" s="70"/>
      <c r="F529" s="66"/>
    </row>
    <row r="530" spans="2:6" ht="21" customHeight="1">
      <c r="B530" s="70"/>
      <c r="F530" s="66"/>
    </row>
    <row r="531" spans="2:6" ht="21" customHeight="1">
      <c r="B531" s="70"/>
      <c r="F531" s="66"/>
    </row>
    <row r="532" spans="2:6" ht="21" customHeight="1">
      <c r="B532" s="70"/>
      <c r="F532" s="66"/>
    </row>
    <row r="533" spans="2:6" ht="21" customHeight="1">
      <c r="B533" s="70"/>
      <c r="F533" s="66"/>
    </row>
    <row r="534" spans="2:6" ht="21" customHeight="1">
      <c r="B534" s="70"/>
      <c r="F534" s="66"/>
    </row>
    <row r="535" spans="2:6" ht="21" customHeight="1">
      <c r="B535" s="70"/>
      <c r="F535" s="66"/>
    </row>
    <row r="536" spans="2:6" ht="21" customHeight="1">
      <c r="B536" s="70"/>
      <c r="F536" s="66"/>
    </row>
    <row r="537" spans="2:6" ht="21" customHeight="1">
      <c r="B537" s="70"/>
      <c r="F537" s="66"/>
    </row>
    <row r="538" spans="2:6" ht="21" customHeight="1">
      <c r="B538" s="70"/>
      <c r="F538" s="66"/>
    </row>
    <row r="539" spans="2:6" ht="21" customHeight="1">
      <c r="B539" s="70"/>
      <c r="F539" s="66"/>
    </row>
    <row r="540" spans="2:6" ht="21" customHeight="1">
      <c r="B540" s="70"/>
      <c r="F540" s="66"/>
    </row>
    <row r="541" spans="2:6" ht="21" customHeight="1">
      <c r="B541" s="70"/>
      <c r="F541" s="66"/>
    </row>
    <row r="542" spans="2:6" ht="21" customHeight="1">
      <c r="B542" s="70"/>
      <c r="F542" s="66"/>
    </row>
    <row r="543" spans="2:6" ht="21" customHeight="1">
      <c r="B543" s="70"/>
      <c r="F543" s="66"/>
    </row>
    <row r="544" spans="2:6" ht="21" customHeight="1">
      <c r="B544" s="70"/>
      <c r="F544" s="66"/>
    </row>
    <row r="545" spans="2:6" ht="21" customHeight="1">
      <c r="B545" s="70"/>
      <c r="F545" s="66"/>
    </row>
    <row r="546" spans="2:6" ht="21" customHeight="1">
      <c r="B546" s="70"/>
      <c r="F546" s="66"/>
    </row>
    <row r="547" spans="2:6" ht="21" customHeight="1">
      <c r="B547" s="70"/>
      <c r="F547" s="66"/>
    </row>
    <row r="548" spans="2:6" ht="21" customHeight="1">
      <c r="B548" s="70"/>
      <c r="F548" s="66"/>
    </row>
    <row r="549" spans="2:6" ht="21" customHeight="1">
      <c r="B549" s="70"/>
      <c r="F549" s="66"/>
    </row>
    <row r="550" spans="2:6" ht="21" customHeight="1">
      <c r="B550" s="70"/>
      <c r="F550" s="66"/>
    </row>
    <row r="551" spans="2:6" ht="21" customHeight="1">
      <c r="B551" s="70"/>
      <c r="F551" s="66"/>
    </row>
    <row r="552" spans="2:6" ht="21" customHeight="1">
      <c r="B552" s="70"/>
      <c r="F552" s="66"/>
    </row>
    <row r="553" spans="2:6" ht="21" customHeight="1">
      <c r="B553" s="70"/>
      <c r="F553" s="66"/>
    </row>
    <row r="554" spans="2:6" ht="21" customHeight="1">
      <c r="B554" s="70"/>
      <c r="F554" s="66"/>
    </row>
    <row r="555" spans="2:6" ht="21" customHeight="1">
      <c r="B555" s="70"/>
      <c r="F555" s="66"/>
    </row>
    <row r="556" spans="2:6" ht="21" customHeight="1">
      <c r="B556" s="70"/>
      <c r="F556" s="66"/>
    </row>
    <row r="557" spans="2:6" ht="21" customHeight="1">
      <c r="B557" s="70"/>
      <c r="F557" s="66"/>
    </row>
    <row r="558" spans="2:6" ht="21" customHeight="1">
      <c r="B558" s="70"/>
      <c r="F558" s="66"/>
    </row>
    <row r="559" spans="2:6" ht="21" customHeight="1">
      <c r="B559" s="70"/>
      <c r="F559" s="66"/>
    </row>
    <row r="560" spans="2:6" ht="21" customHeight="1">
      <c r="B560" s="70"/>
      <c r="F560" s="66"/>
    </row>
    <row r="561" spans="2:6" ht="21" customHeight="1">
      <c r="B561" s="70"/>
      <c r="F561" s="66"/>
    </row>
    <row r="562" spans="2:6" ht="21" customHeight="1">
      <c r="B562" s="70"/>
      <c r="F562" s="66"/>
    </row>
    <row r="563" spans="2:6" ht="21" customHeight="1">
      <c r="B563" s="70"/>
      <c r="F563" s="66"/>
    </row>
    <row r="564" spans="2:6" ht="21" customHeight="1">
      <c r="B564" s="70"/>
      <c r="F564" s="66"/>
    </row>
    <row r="565" spans="2:6" ht="21" customHeight="1">
      <c r="B565" s="70"/>
      <c r="F565" s="66"/>
    </row>
    <row r="566" spans="2:6" ht="21" customHeight="1">
      <c r="B566" s="70"/>
      <c r="F566" s="66"/>
    </row>
    <row r="567" spans="2:6" ht="21" customHeight="1">
      <c r="B567" s="70"/>
      <c r="F567" s="66"/>
    </row>
    <row r="568" spans="2:6" ht="21" customHeight="1">
      <c r="B568" s="70"/>
      <c r="F568" s="66"/>
    </row>
    <row r="569" spans="2:6" ht="21" customHeight="1">
      <c r="B569" s="70"/>
      <c r="F569" s="66"/>
    </row>
    <row r="570" spans="2:6" ht="21" customHeight="1">
      <c r="B570" s="70"/>
      <c r="F570" s="66"/>
    </row>
    <row r="571" spans="2:6" ht="21" customHeight="1">
      <c r="B571" s="70"/>
      <c r="F571" s="66"/>
    </row>
    <row r="572" spans="2:6" ht="21" customHeight="1">
      <c r="B572" s="70"/>
      <c r="F572" s="66"/>
    </row>
    <row r="573" spans="2:6" ht="21" customHeight="1">
      <c r="B573" s="70"/>
      <c r="F573" s="66"/>
    </row>
    <row r="574" spans="2:6" ht="21" customHeight="1">
      <c r="B574" s="70"/>
      <c r="F574" s="66"/>
    </row>
    <row r="575" spans="2:6" ht="21" customHeight="1">
      <c r="B575" s="70"/>
      <c r="F575" s="66"/>
    </row>
    <row r="576" spans="2:6" ht="21" customHeight="1">
      <c r="B576" s="70"/>
      <c r="F576" s="66"/>
    </row>
    <row r="577" spans="2:6" ht="21" customHeight="1">
      <c r="B577" s="70"/>
      <c r="F577" s="66"/>
    </row>
    <row r="578" spans="2:6" ht="21" customHeight="1">
      <c r="B578" s="70"/>
      <c r="F578" s="66"/>
    </row>
    <row r="579" spans="2:6" ht="21" customHeight="1">
      <c r="B579" s="70"/>
      <c r="F579" s="66"/>
    </row>
    <row r="580" spans="2:6" ht="21" customHeight="1">
      <c r="B580" s="70"/>
      <c r="F580" s="66"/>
    </row>
    <row r="581" spans="2:6" ht="21" customHeight="1">
      <c r="B581" s="70"/>
      <c r="F581" s="66"/>
    </row>
    <row r="582" spans="2:6" ht="21" customHeight="1">
      <c r="B582" s="70"/>
      <c r="F582" s="66"/>
    </row>
    <row r="583" spans="2:6" ht="21" customHeight="1">
      <c r="B583" s="70"/>
      <c r="F583" s="66"/>
    </row>
    <row r="584" spans="2:6" ht="21" customHeight="1">
      <c r="B584" s="70"/>
      <c r="F584" s="66"/>
    </row>
    <row r="585" spans="2:6" ht="21" customHeight="1">
      <c r="B585" s="70"/>
      <c r="F585" s="66"/>
    </row>
    <row r="586" spans="2:6" ht="21" customHeight="1">
      <c r="B586" s="70"/>
      <c r="F586" s="66"/>
    </row>
    <row r="587" spans="2:6" ht="21" customHeight="1">
      <c r="B587" s="70"/>
      <c r="F587" s="66"/>
    </row>
    <row r="588" spans="2:6" ht="21" customHeight="1">
      <c r="B588" s="70"/>
      <c r="F588" s="66"/>
    </row>
    <row r="589" spans="2:6" ht="21" customHeight="1">
      <c r="B589" s="70"/>
      <c r="F589" s="66"/>
    </row>
    <row r="590" spans="2:6" ht="21" customHeight="1">
      <c r="B590" s="70"/>
      <c r="F590" s="66"/>
    </row>
    <row r="591" spans="2:6" ht="21" customHeight="1">
      <c r="B591" s="70"/>
      <c r="F591" s="66"/>
    </row>
    <row r="592" spans="2:6" ht="21" customHeight="1">
      <c r="B592" s="70"/>
      <c r="F592" s="66"/>
    </row>
    <row r="593" spans="2:6" ht="21" customHeight="1">
      <c r="B593" s="70"/>
      <c r="F593" s="66"/>
    </row>
    <row r="594" spans="2:6" ht="21" customHeight="1">
      <c r="B594" s="70"/>
      <c r="F594" s="66"/>
    </row>
    <row r="595" spans="2:6" ht="21" customHeight="1">
      <c r="B595" s="70"/>
      <c r="F595" s="66"/>
    </row>
    <row r="596" spans="2:6" ht="21" customHeight="1">
      <c r="B596" s="70"/>
      <c r="F596" s="66"/>
    </row>
    <row r="597" spans="2:6" ht="21" customHeight="1">
      <c r="B597" s="70"/>
      <c r="F597" s="66"/>
    </row>
    <row r="598" spans="2:6" ht="21" customHeight="1">
      <c r="B598" s="70"/>
      <c r="F598" s="66"/>
    </row>
    <row r="599" spans="2:6" ht="21" customHeight="1">
      <c r="B599" s="70"/>
      <c r="F599" s="66"/>
    </row>
    <row r="600" spans="2:6" ht="21" customHeight="1">
      <c r="B600" s="70"/>
      <c r="F600" s="66"/>
    </row>
    <row r="601" spans="2:6" ht="21" customHeight="1">
      <c r="B601" s="70"/>
      <c r="F601" s="66"/>
    </row>
    <row r="602" spans="2:6" ht="21" customHeight="1">
      <c r="B602" s="70"/>
      <c r="F602" s="66"/>
    </row>
    <row r="603" spans="2:6" ht="21" customHeight="1">
      <c r="B603" s="70"/>
      <c r="F603" s="66"/>
    </row>
    <row r="604" spans="2:6" ht="21" customHeight="1">
      <c r="B604" s="70"/>
      <c r="F604" s="66"/>
    </row>
    <row r="605" spans="2:6" ht="21" customHeight="1">
      <c r="B605" s="70"/>
      <c r="F605" s="66"/>
    </row>
    <row r="606" spans="2:6" ht="21" customHeight="1">
      <c r="B606" s="70"/>
      <c r="F606" s="66"/>
    </row>
    <row r="607" spans="2:6" ht="21" customHeight="1">
      <c r="B607" s="70"/>
      <c r="F607" s="66"/>
    </row>
    <row r="608" spans="2:6" ht="21" customHeight="1">
      <c r="B608" s="70"/>
      <c r="F608" s="66"/>
    </row>
    <row r="609" spans="2:6" ht="21" customHeight="1">
      <c r="B609" s="70"/>
      <c r="F609" s="66"/>
    </row>
    <row r="610" spans="2:6" ht="21" customHeight="1">
      <c r="B610" s="70"/>
      <c r="F610" s="66"/>
    </row>
    <row r="611" spans="2:6" ht="21" customHeight="1">
      <c r="B611" s="70"/>
      <c r="F611" s="66"/>
    </row>
    <row r="612" spans="2:6" ht="21" customHeight="1">
      <c r="B612" s="70"/>
      <c r="F612" s="66"/>
    </row>
    <row r="613" spans="2:6" ht="21" customHeight="1">
      <c r="B613" s="70"/>
      <c r="F613" s="66"/>
    </row>
    <row r="614" spans="2:6" ht="21" customHeight="1">
      <c r="B614" s="70"/>
      <c r="F614" s="66"/>
    </row>
    <row r="615" spans="2:6" ht="21" customHeight="1">
      <c r="B615" s="70"/>
      <c r="F615" s="66"/>
    </row>
    <row r="616" spans="2:6" ht="21" customHeight="1">
      <c r="B616" s="70"/>
      <c r="F616" s="66"/>
    </row>
    <row r="617" spans="2:6" ht="21" customHeight="1">
      <c r="B617" s="70"/>
      <c r="F617" s="66"/>
    </row>
    <row r="618" spans="2:6" ht="21" customHeight="1">
      <c r="B618" s="70"/>
      <c r="F618" s="66"/>
    </row>
    <row r="619" spans="2:6" ht="21" customHeight="1">
      <c r="B619" s="70"/>
      <c r="F619" s="66"/>
    </row>
    <row r="620" spans="2:6" ht="21" customHeight="1">
      <c r="B620" s="70"/>
      <c r="F620" s="66"/>
    </row>
    <row r="621" spans="2:6" ht="21" customHeight="1">
      <c r="B621" s="70"/>
      <c r="F621" s="66"/>
    </row>
    <row r="622" spans="2:6" ht="21" customHeight="1">
      <c r="B622" s="70"/>
      <c r="F622" s="66"/>
    </row>
    <row r="623" spans="2:6" ht="21" customHeight="1">
      <c r="B623" s="70"/>
      <c r="F623" s="66"/>
    </row>
    <row r="624" spans="2:6" ht="21" customHeight="1">
      <c r="B624" s="70"/>
      <c r="F624" s="66"/>
    </row>
    <row r="625" spans="2:6" ht="21" customHeight="1">
      <c r="B625" s="70"/>
      <c r="F625" s="66"/>
    </row>
    <row r="626" spans="2:6" ht="21" customHeight="1">
      <c r="B626" s="70"/>
      <c r="F626" s="66"/>
    </row>
    <row r="627" spans="2:6" ht="21" customHeight="1">
      <c r="B627" s="70"/>
      <c r="F627" s="66"/>
    </row>
    <row r="628" spans="2:6" ht="21" customHeight="1">
      <c r="B628" s="70"/>
      <c r="F628" s="66"/>
    </row>
    <row r="629" spans="2:6" ht="21" customHeight="1">
      <c r="B629" s="70"/>
      <c r="F629" s="66"/>
    </row>
    <row r="630" spans="2:6" ht="21" customHeight="1">
      <c r="B630" s="70"/>
      <c r="F630" s="66"/>
    </row>
    <row r="631" spans="2:6" ht="21" customHeight="1">
      <c r="B631" s="70"/>
      <c r="F631" s="66"/>
    </row>
    <row r="632" spans="2:6" ht="21" customHeight="1">
      <c r="B632" s="70"/>
      <c r="F632" s="66"/>
    </row>
    <row r="633" spans="2:6" ht="21" customHeight="1">
      <c r="B633" s="70"/>
      <c r="F633" s="66"/>
    </row>
    <row r="634" spans="2:6" ht="21" customHeight="1">
      <c r="B634" s="70"/>
      <c r="F634" s="66"/>
    </row>
    <row r="635" spans="2:6" ht="21" customHeight="1">
      <c r="B635" s="70"/>
      <c r="F635" s="66"/>
    </row>
    <row r="636" spans="2:6" ht="21" customHeight="1">
      <c r="B636" s="70"/>
      <c r="F636" s="66"/>
    </row>
    <row r="637" spans="2:6" ht="21" customHeight="1">
      <c r="B637" s="70"/>
      <c r="F637" s="66"/>
    </row>
    <row r="638" spans="2:6" ht="21" customHeight="1">
      <c r="B638" s="70"/>
      <c r="F638" s="66"/>
    </row>
    <row r="639" spans="2:6" ht="21" customHeight="1">
      <c r="B639" s="70"/>
      <c r="F639" s="66"/>
    </row>
    <row r="640" spans="2:6" ht="21" customHeight="1">
      <c r="B640" s="70"/>
      <c r="F640" s="66"/>
    </row>
    <row r="641" spans="2:6" ht="21" customHeight="1">
      <c r="B641" s="70"/>
      <c r="F641" s="66"/>
    </row>
    <row r="642" spans="2:6" ht="21" customHeight="1">
      <c r="B642" s="70"/>
      <c r="F642" s="66"/>
    </row>
    <row r="643" spans="2:6" ht="21" customHeight="1">
      <c r="B643" s="70"/>
      <c r="F643" s="66"/>
    </row>
    <row r="644" spans="2:6" ht="21" customHeight="1">
      <c r="B644" s="70"/>
      <c r="F644" s="66"/>
    </row>
    <row r="645" spans="2:6" ht="21" customHeight="1">
      <c r="B645" s="70"/>
      <c r="F645" s="66"/>
    </row>
    <row r="646" spans="2:6" ht="21" customHeight="1">
      <c r="B646" s="70"/>
      <c r="F646" s="66"/>
    </row>
    <row r="647" spans="2:6" ht="21" customHeight="1">
      <c r="B647" s="70"/>
      <c r="F647" s="66"/>
    </row>
    <row r="648" spans="2:6" ht="21" customHeight="1">
      <c r="B648" s="70"/>
      <c r="F648" s="66"/>
    </row>
    <row r="649" spans="2:6" ht="21" customHeight="1">
      <c r="B649" s="70"/>
      <c r="F649" s="66"/>
    </row>
    <row r="650" spans="2:6" ht="21" customHeight="1">
      <c r="B650" s="70"/>
      <c r="F650" s="66"/>
    </row>
    <row r="651" spans="2:6" ht="21" customHeight="1">
      <c r="B651" s="70"/>
      <c r="F651" s="66"/>
    </row>
    <row r="652" spans="2:6" ht="21" customHeight="1">
      <c r="B652" s="70"/>
      <c r="F652" s="66"/>
    </row>
    <row r="653" spans="2:6" ht="21" customHeight="1">
      <c r="B653" s="70"/>
      <c r="F653" s="66"/>
    </row>
    <row r="654" spans="2:6" ht="21" customHeight="1">
      <c r="B654" s="70"/>
      <c r="F654" s="66"/>
    </row>
    <row r="655" spans="2:6" ht="21" customHeight="1">
      <c r="B655" s="70"/>
      <c r="F655" s="66"/>
    </row>
    <row r="656" spans="2:6" ht="21" customHeight="1">
      <c r="B656" s="70"/>
      <c r="F656" s="66"/>
    </row>
    <row r="657" spans="2:6" ht="21" customHeight="1">
      <c r="B657" s="70"/>
      <c r="F657" s="66"/>
    </row>
    <row r="658" spans="2:6" ht="21" customHeight="1">
      <c r="B658" s="70"/>
      <c r="F658" s="66"/>
    </row>
    <row r="659" spans="2:6" ht="21" customHeight="1">
      <c r="B659" s="70"/>
      <c r="F659" s="66"/>
    </row>
    <row r="660" spans="2:6" ht="21" customHeight="1">
      <c r="B660" s="70"/>
      <c r="F660" s="66"/>
    </row>
    <row r="661" spans="2:6" ht="21" customHeight="1">
      <c r="B661" s="70"/>
      <c r="F661" s="66"/>
    </row>
    <row r="662" spans="2:6" ht="21" customHeight="1">
      <c r="B662" s="70"/>
      <c r="F662" s="66"/>
    </row>
    <row r="663" spans="2:6" ht="21" customHeight="1">
      <c r="B663" s="70"/>
      <c r="F663" s="66"/>
    </row>
    <row r="664" spans="2:6" ht="21" customHeight="1">
      <c r="B664" s="70"/>
      <c r="F664" s="66"/>
    </row>
    <row r="665" spans="2:6" ht="21" customHeight="1">
      <c r="B665" s="70"/>
      <c r="F665" s="66"/>
    </row>
    <row r="666" spans="2:6" ht="21" customHeight="1">
      <c r="B666" s="70"/>
      <c r="F666" s="66"/>
    </row>
    <row r="667" spans="2:6" ht="21" customHeight="1">
      <c r="B667" s="70"/>
      <c r="F667" s="66"/>
    </row>
    <row r="668" spans="2:6" ht="21" customHeight="1">
      <c r="B668" s="70"/>
      <c r="F668" s="66"/>
    </row>
    <row r="669" spans="2:6" ht="21" customHeight="1">
      <c r="B669" s="70"/>
      <c r="F669" s="66"/>
    </row>
    <row r="670" spans="2:6" ht="21" customHeight="1">
      <c r="B670" s="70"/>
      <c r="F670" s="66"/>
    </row>
    <row r="671" spans="2:6" ht="21" customHeight="1">
      <c r="B671" s="70"/>
      <c r="F671" s="66"/>
    </row>
    <row r="672" spans="2:6" ht="21" customHeight="1">
      <c r="B672" s="70"/>
      <c r="F672" s="66"/>
    </row>
    <row r="673" spans="2:6" ht="21" customHeight="1">
      <c r="B673" s="70"/>
      <c r="F673" s="66"/>
    </row>
    <row r="674" spans="2:6" ht="21" customHeight="1">
      <c r="B674" s="70"/>
      <c r="F674" s="66"/>
    </row>
    <row r="675" spans="2:6" ht="21" customHeight="1">
      <c r="B675" s="70"/>
      <c r="F675" s="66"/>
    </row>
    <row r="676" spans="2:6" ht="21" customHeight="1">
      <c r="B676" s="70"/>
      <c r="F676" s="66"/>
    </row>
    <row r="677" spans="2:6" ht="21" customHeight="1">
      <c r="B677" s="70"/>
      <c r="F677" s="66"/>
    </row>
    <row r="678" spans="2:6" ht="21" customHeight="1">
      <c r="B678" s="70"/>
      <c r="F678" s="66"/>
    </row>
    <row r="679" spans="2:6" ht="21" customHeight="1">
      <c r="B679" s="70"/>
      <c r="F679" s="66"/>
    </row>
    <row r="680" spans="2:6" ht="21" customHeight="1">
      <c r="B680" s="70"/>
      <c r="F680" s="66"/>
    </row>
    <row r="681" spans="2:6" ht="21" customHeight="1">
      <c r="B681" s="70"/>
      <c r="F681" s="66"/>
    </row>
    <row r="682" spans="2:6" ht="21" customHeight="1">
      <c r="B682" s="70"/>
      <c r="F682" s="66"/>
    </row>
    <row r="683" spans="2:6" ht="21" customHeight="1">
      <c r="B683" s="70"/>
      <c r="F683" s="66"/>
    </row>
    <row r="684" spans="2:6" ht="21" customHeight="1">
      <c r="B684" s="70"/>
      <c r="F684" s="66"/>
    </row>
    <row r="685" spans="2:6" ht="21" customHeight="1">
      <c r="B685" s="70"/>
      <c r="F685" s="66"/>
    </row>
    <row r="686" spans="2:6" ht="21" customHeight="1">
      <c r="B686" s="70"/>
      <c r="F686" s="66"/>
    </row>
    <row r="687" spans="2:6" ht="21" customHeight="1">
      <c r="B687" s="70"/>
      <c r="F687" s="66"/>
    </row>
    <row r="688" spans="2:6" ht="21" customHeight="1">
      <c r="B688" s="70"/>
      <c r="F688" s="66"/>
    </row>
    <row r="689" spans="2:6" ht="21" customHeight="1">
      <c r="B689" s="70"/>
      <c r="F689" s="66"/>
    </row>
    <row r="690" spans="2:6" ht="21" customHeight="1">
      <c r="B690" s="70"/>
      <c r="F690" s="66"/>
    </row>
    <row r="691" spans="2:6" ht="21" customHeight="1">
      <c r="B691" s="70"/>
      <c r="F691" s="66"/>
    </row>
    <row r="692" spans="2:6" ht="21" customHeight="1">
      <c r="B692" s="70"/>
      <c r="F692" s="66"/>
    </row>
    <row r="693" spans="2:6" ht="21" customHeight="1">
      <c r="B693" s="70"/>
      <c r="F693" s="66"/>
    </row>
    <row r="694" spans="2:6" ht="21" customHeight="1">
      <c r="B694" s="70"/>
      <c r="F694" s="66"/>
    </row>
    <row r="695" spans="2:6" ht="21" customHeight="1">
      <c r="B695" s="70"/>
      <c r="F695" s="66"/>
    </row>
    <row r="696" spans="2:6" ht="21" customHeight="1">
      <c r="B696" s="70"/>
      <c r="F696" s="66"/>
    </row>
    <row r="697" spans="2:6" ht="21" customHeight="1">
      <c r="B697" s="70"/>
      <c r="F697" s="66"/>
    </row>
    <row r="698" spans="2:6" ht="21" customHeight="1">
      <c r="B698" s="70"/>
      <c r="F698" s="66"/>
    </row>
    <row r="699" spans="2:6" ht="21" customHeight="1">
      <c r="B699" s="70"/>
      <c r="F699" s="66"/>
    </row>
    <row r="700" spans="2:6" ht="21" customHeight="1">
      <c r="B700" s="70"/>
      <c r="F700" s="66"/>
    </row>
    <row r="701" spans="2:6" ht="21" customHeight="1">
      <c r="B701" s="70"/>
      <c r="F701" s="66"/>
    </row>
    <row r="702" spans="2:6" ht="21" customHeight="1">
      <c r="B702" s="70"/>
      <c r="F702" s="66"/>
    </row>
    <row r="703" spans="2:6" ht="21" customHeight="1">
      <c r="B703" s="70"/>
      <c r="F703" s="66"/>
    </row>
    <row r="704" spans="2:6" ht="21" customHeight="1">
      <c r="B704" s="70"/>
      <c r="F704" s="66"/>
    </row>
    <row r="705" spans="2:6" ht="21" customHeight="1">
      <c r="B705" s="70"/>
      <c r="F705" s="66"/>
    </row>
    <row r="706" spans="2:6" ht="21" customHeight="1">
      <c r="B706" s="70"/>
      <c r="F706" s="66"/>
    </row>
    <row r="707" spans="2:6" ht="21" customHeight="1">
      <c r="B707" s="70"/>
      <c r="F707" s="66"/>
    </row>
    <row r="708" spans="2:6" ht="21" customHeight="1">
      <c r="B708" s="70"/>
      <c r="F708" s="66"/>
    </row>
    <row r="709" spans="2:6" ht="21" customHeight="1">
      <c r="B709" s="70"/>
      <c r="F709" s="66"/>
    </row>
    <row r="710" spans="2:6" ht="21" customHeight="1">
      <c r="B710" s="70"/>
      <c r="F710" s="66"/>
    </row>
    <row r="711" spans="2:6" ht="21" customHeight="1">
      <c r="B711" s="70"/>
      <c r="F711" s="66"/>
    </row>
    <row r="712" spans="2:6" ht="21" customHeight="1">
      <c r="B712" s="70"/>
      <c r="F712" s="66"/>
    </row>
    <row r="713" spans="2:6" ht="21" customHeight="1">
      <c r="B713" s="70"/>
      <c r="F713" s="66"/>
    </row>
    <row r="714" spans="2:6" ht="21" customHeight="1">
      <c r="B714" s="70"/>
      <c r="F714" s="66"/>
    </row>
    <row r="715" spans="2:6" ht="21" customHeight="1">
      <c r="B715" s="70"/>
      <c r="F715" s="66"/>
    </row>
    <row r="716" spans="2:6" ht="21" customHeight="1">
      <c r="B716" s="70"/>
      <c r="F716" s="66"/>
    </row>
    <row r="717" spans="2:6" ht="21" customHeight="1">
      <c r="B717" s="70"/>
      <c r="F717" s="66"/>
    </row>
    <row r="718" spans="2:6" ht="21" customHeight="1">
      <c r="B718" s="70"/>
      <c r="F718" s="66"/>
    </row>
    <row r="719" spans="2:6" ht="21" customHeight="1">
      <c r="B719" s="70"/>
      <c r="F719" s="66"/>
    </row>
    <row r="720" spans="2:6" ht="21" customHeight="1">
      <c r="B720" s="70"/>
      <c r="F720" s="66"/>
    </row>
    <row r="721" spans="2:6" ht="21" customHeight="1">
      <c r="B721" s="70"/>
      <c r="F721" s="66"/>
    </row>
    <row r="722" spans="2:6" ht="21" customHeight="1">
      <c r="B722" s="70"/>
      <c r="F722" s="66"/>
    </row>
    <row r="723" spans="2:6" ht="21" customHeight="1">
      <c r="B723" s="70"/>
      <c r="F723" s="66"/>
    </row>
    <row r="724" spans="2:6" ht="21" customHeight="1">
      <c r="B724" s="70"/>
      <c r="F724" s="66"/>
    </row>
    <row r="725" spans="2:6" ht="21" customHeight="1">
      <c r="B725" s="70"/>
      <c r="F725" s="66"/>
    </row>
    <row r="726" spans="2:6" ht="21" customHeight="1">
      <c r="B726" s="70"/>
      <c r="F726" s="66"/>
    </row>
    <row r="727" spans="2:6" ht="21" customHeight="1">
      <c r="B727" s="70"/>
      <c r="F727" s="66"/>
    </row>
    <row r="728" spans="2:6" ht="21" customHeight="1">
      <c r="B728" s="70"/>
      <c r="F728" s="66"/>
    </row>
    <row r="729" spans="2:6" ht="21" customHeight="1">
      <c r="B729" s="70"/>
      <c r="F729" s="66"/>
    </row>
    <row r="730" spans="2:6" ht="21" customHeight="1">
      <c r="B730" s="70"/>
      <c r="F730" s="66"/>
    </row>
    <row r="731" spans="2:6" ht="21" customHeight="1">
      <c r="B731" s="70"/>
      <c r="F731" s="66"/>
    </row>
    <row r="732" spans="2:6" ht="21" customHeight="1">
      <c r="B732" s="70"/>
      <c r="F732" s="66"/>
    </row>
    <row r="733" spans="2:6" ht="21" customHeight="1">
      <c r="B733" s="70"/>
      <c r="F733" s="66"/>
    </row>
    <row r="734" spans="2:6" ht="21" customHeight="1">
      <c r="B734" s="70"/>
      <c r="F734" s="66"/>
    </row>
    <row r="735" spans="2:6" ht="21" customHeight="1">
      <c r="B735" s="70"/>
      <c r="F735" s="66"/>
    </row>
    <row r="736" spans="2:6" ht="21" customHeight="1">
      <c r="B736" s="70"/>
      <c r="F736" s="66"/>
    </row>
    <row r="737" spans="2:6" ht="21" customHeight="1">
      <c r="B737" s="70"/>
      <c r="F737" s="66"/>
    </row>
    <row r="738" spans="2:6" ht="21" customHeight="1">
      <c r="B738" s="70"/>
      <c r="F738" s="66"/>
    </row>
    <row r="739" spans="2:6" ht="21" customHeight="1">
      <c r="B739" s="70"/>
      <c r="F739" s="66"/>
    </row>
    <row r="740" spans="2:6" ht="21" customHeight="1">
      <c r="B740" s="70"/>
      <c r="F740" s="66"/>
    </row>
    <row r="741" spans="2:6" ht="21" customHeight="1">
      <c r="B741" s="70"/>
      <c r="F741" s="66"/>
    </row>
    <row r="742" spans="2:6" ht="21" customHeight="1">
      <c r="B742" s="70"/>
      <c r="F742" s="66"/>
    </row>
    <row r="743" spans="2:6" ht="21" customHeight="1">
      <c r="B743" s="70"/>
      <c r="F743" s="66"/>
    </row>
    <row r="744" spans="2:6" ht="21" customHeight="1">
      <c r="B744" s="70"/>
      <c r="F744" s="66"/>
    </row>
    <row r="745" spans="2:6" ht="21" customHeight="1">
      <c r="B745" s="70"/>
      <c r="F745" s="66"/>
    </row>
    <row r="746" spans="2:6" ht="21" customHeight="1">
      <c r="B746" s="70"/>
      <c r="F746" s="66"/>
    </row>
    <row r="747" spans="2:6" ht="21" customHeight="1">
      <c r="B747" s="70"/>
      <c r="F747" s="66"/>
    </row>
    <row r="748" spans="2:6" ht="21" customHeight="1">
      <c r="B748" s="70"/>
      <c r="F748" s="66"/>
    </row>
    <row r="749" spans="2:6" ht="21" customHeight="1">
      <c r="B749" s="70"/>
      <c r="F749" s="66"/>
    </row>
    <row r="750" spans="2:6" ht="21" customHeight="1">
      <c r="B750" s="70"/>
      <c r="F750" s="66"/>
    </row>
    <row r="751" spans="2:6" ht="21" customHeight="1">
      <c r="B751" s="70"/>
      <c r="F751" s="66"/>
    </row>
    <row r="752" spans="2:6" ht="21" customHeight="1">
      <c r="B752" s="70"/>
      <c r="F752" s="66"/>
    </row>
    <row r="753" spans="2:6" ht="21" customHeight="1">
      <c r="B753" s="70"/>
      <c r="F753" s="66"/>
    </row>
    <row r="754" spans="2:6" ht="21" customHeight="1">
      <c r="B754" s="70"/>
      <c r="F754" s="66"/>
    </row>
    <row r="755" spans="2:6" ht="21" customHeight="1">
      <c r="B755" s="70"/>
      <c r="F755" s="66"/>
    </row>
    <row r="756" spans="2:6" ht="21" customHeight="1">
      <c r="B756" s="70"/>
      <c r="F756" s="66"/>
    </row>
    <row r="757" spans="2:6" ht="21" customHeight="1">
      <c r="B757" s="70"/>
      <c r="F757" s="66"/>
    </row>
    <row r="758" spans="2:6" ht="21" customHeight="1">
      <c r="B758" s="70"/>
      <c r="F758" s="66"/>
    </row>
    <row r="759" spans="2:6" ht="21" customHeight="1">
      <c r="B759" s="70"/>
      <c r="F759" s="66"/>
    </row>
    <row r="760" spans="2:6" ht="21" customHeight="1">
      <c r="B760" s="70"/>
      <c r="F760" s="66"/>
    </row>
    <row r="761" spans="2:6" ht="21" customHeight="1">
      <c r="B761" s="70"/>
      <c r="F761" s="66"/>
    </row>
    <row r="762" spans="2:6" ht="21" customHeight="1">
      <c r="B762" s="70"/>
      <c r="F762" s="66"/>
    </row>
    <row r="763" spans="2:6" ht="21" customHeight="1">
      <c r="B763" s="70"/>
      <c r="F763" s="66"/>
    </row>
    <row r="764" spans="2:6" ht="21" customHeight="1">
      <c r="B764" s="70"/>
      <c r="F764" s="66"/>
    </row>
    <row r="765" spans="2:6" ht="21" customHeight="1">
      <c r="B765" s="70"/>
      <c r="F765" s="66"/>
    </row>
    <row r="766" spans="2:6" ht="21" customHeight="1">
      <c r="B766" s="70"/>
      <c r="F766" s="66"/>
    </row>
    <row r="767" spans="2:6" ht="21" customHeight="1">
      <c r="B767" s="70"/>
      <c r="F767" s="66"/>
    </row>
    <row r="768" spans="2:6" ht="21" customHeight="1">
      <c r="B768" s="70"/>
      <c r="F768" s="66"/>
    </row>
    <row r="769" spans="2:6" ht="21" customHeight="1">
      <c r="B769" s="70"/>
      <c r="F769" s="66"/>
    </row>
    <row r="770" spans="2:6" ht="21" customHeight="1">
      <c r="B770" s="70"/>
      <c r="F770" s="66"/>
    </row>
    <row r="771" spans="2:6" ht="21" customHeight="1">
      <c r="B771" s="70"/>
      <c r="F771" s="66"/>
    </row>
    <row r="772" spans="2:6" ht="21" customHeight="1">
      <c r="B772" s="70"/>
      <c r="F772" s="66"/>
    </row>
    <row r="773" spans="2:6" ht="21" customHeight="1">
      <c r="B773" s="70"/>
      <c r="F773" s="66"/>
    </row>
    <row r="774" spans="2:6" ht="21" customHeight="1">
      <c r="B774" s="70"/>
      <c r="F774" s="66"/>
    </row>
    <row r="775" spans="2:6" ht="21" customHeight="1">
      <c r="B775" s="70"/>
      <c r="F775" s="66"/>
    </row>
    <row r="776" spans="2:6" ht="21" customHeight="1">
      <c r="B776" s="70"/>
      <c r="F776" s="66"/>
    </row>
    <row r="777" spans="2:6" ht="21" customHeight="1">
      <c r="B777" s="70"/>
      <c r="F777" s="66"/>
    </row>
    <row r="778" spans="2:6" ht="21" customHeight="1">
      <c r="B778" s="70"/>
      <c r="F778" s="66"/>
    </row>
    <row r="779" spans="2:6" ht="21" customHeight="1">
      <c r="B779" s="70"/>
      <c r="F779" s="66"/>
    </row>
    <row r="780" spans="2:6" ht="21" customHeight="1">
      <c r="B780" s="70"/>
      <c r="F780" s="66"/>
    </row>
    <row r="781" spans="2:6" ht="21" customHeight="1">
      <c r="B781" s="70"/>
      <c r="F781" s="66"/>
    </row>
    <row r="782" spans="2:6" ht="21" customHeight="1">
      <c r="B782" s="70"/>
      <c r="F782" s="66"/>
    </row>
    <row r="783" spans="2:6" ht="21" customHeight="1">
      <c r="B783" s="70"/>
      <c r="F783" s="66"/>
    </row>
    <row r="784" spans="2:6" ht="21" customHeight="1">
      <c r="B784" s="70"/>
      <c r="F784" s="66"/>
    </row>
    <row r="785" spans="2:6" ht="21" customHeight="1">
      <c r="B785" s="70"/>
      <c r="F785" s="66"/>
    </row>
    <row r="786" spans="2:6" ht="21" customHeight="1">
      <c r="B786" s="70"/>
      <c r="F786" s="66"/>
    </row>
    <row r="787" spans="2:6" ht="21" customHeight="1">
      <c r="B787" s="70"/>
      <c r="F787" s="66"/>
    </row>
    <row r="788" spans="2:6" ht="21" customHeight="1">
      <c r="B788" s="70"/>
      <c r="F788" s="66"/>
    </row>
    <row r="789" spans="2:6" ht="21" customHeight="1">
      <c r="B789" s="70"/>
      <c r="F789" s="66"/>
    </row>
    <row r="790" spans="2:6" ht="21" customHeight="1">
      <c r="B790" s="70"/>
      <c r="F790" s="66"/>
    </row>
    <row r="791" spans="2:6" ht="21" customHeight="1">
      <c r="B791" s="70"/>
      <c r="F791" s="66"/>
    </row>
    <row r="792" spans="2:6" ht="21" customHeight="1">
      <c r="B792" s="70"/>
      <c r="F792" s="66"/>
    </row>
    <row r="793" spans="2:6" ht="21" customHeight="1">
      <c r="B793" s="70"/>
      <c r="F793" s="66"/>
    </row>
    <row r="794" spans="2:6" ht="21" customHeight="1">
      <c r="B794" s="70"/>
      <c r="F794" s="66"/>
    </row>
    <row r="795" spans="2:6" ht="21" customHeight="1">
      <c r="B795" s="70"/>
      <c r="F795" s="66"/>
    </row>
    <row r="796" spans="2:6" ht="21" customHeight="1">
      <c r="B796" s="70"/>
      <c r="F796" s="66"/>
    </row>
    <row r="797" spans="2:6" ht="21" customHeight="1">
      <c r="B797" s="70"/>
      <c r="F797" s="66"/>
    </row>
    <row r="798" spans="2:6" ht="21" customHeight="1">
      <c r="B798" s="70"/>
      <c r="F798" s="66"/>
    </row>
    <row r="799" spans="2:6" ht="21" customHeight="1">
      <c r="B799" s="70"/>
      <c r="F799" s="66"/>
    </row>
    <row r="800" spans="2:6" ht="21" customHeight="1">
      <c r="B800" s="70"/>
      <c r="F800" s="66"/>
    </row>
    <row r="801" spans="2:6" ht="21" customHeight="1">
      <c r="B801" s="70"/>
      <c r="F801" s="66"/>
    </row>
    <row r="802" spans="2:6" ht="21" customHeight="1">
      <c r="B802" s="70"/>
      <c r="F802" s="66"/>
    </row>
    <row r="803" spans="2:6" ht="21" customHeight="1">
      <c r="B803" s="70"/>
      <c r="F803" s="66"/>
    </row>
    <row r="804" spans="2:6" ht="21" customHeight="1">
      <c r="B804" s="70"/>
      <c r="F804" s="66"/>
    </row>
    <row r="805" spans="2:6" ht="21" customHeight="1">
      <c r="B805" s="70"/>
      <c r="F805" s="66"/>
    </row>
    <row r="806" spans="2:6" ht="21" customHeight="1">
      <c r="B806" s="70"/>
      <c r="F806" s="66"/>
    </row>
    <row r="807" spans="2:6" ht="21" customHeight="1">
      <c r="B807" s="70"/>
      <c r="F807" s="66"/>
    </row>
    <row r="808" spans="2:6" ht="21" customHeight="1">
      <c r="B808" s="70"/>
      <c r="F808" s="66"/>
    </row>
    <row r="809" spans="2:6" ht="21" customHeight="1">
      <c r="B809" s="70"/>
      <c r="F809" s="66"/>
    </row>
    <row r="810" spans="2:6" ht="21" customHeight="1">
      <c r="B810" s="70"/>
      <c r="F810" s="66"/>
    </row>
    <row r="811" spans="2:6" ht="21" customHeight="1">
      <c r="B811" s="70"/>
      <c r="F811" s="66"/>
    </row>
    <row r="812" spans="2:6" ht="21" customHeight="1">
      <c r="B812" s="70"/>
      <c r="F812" s="66"/>
    </row>
    <row r="813" spans="2:6" ht="21" customHeight="1">
      <c r="B813" s="70"/>
      <c r="F813" s="66"/>
    </row>
    <row r="814" spans="2:6" ht="21" customHeight="1">
      <c r="B814" s="70"/>
      <c r="F814" s="66"/>
    </row>
    <row r="815" spans="2:6" ht="21" customHeight="1">
      <c r="B815" s="70"/>
      <c r="F815" s="66"/>
    </row>
    <row r="816" spans="2:6" ht="21" customHeight="1">
      <c r="B816" s="70"/>
      <c r="F816" s="66"/>
    </row>
    <row r="817" spans="2:6" ht="21" customHeight="1">
      <c r="B817" s="70"/>
      <c r="F817" s="66"/>
    </row>
    <row r="818" spans="2:6" ht="21" customHeight="1">
      <c r="B818" s="70"/>
      <c r="F818" s="66"/>
    </row>
    <row r="819" spans="2:6" ht="21" customHeight="1">
      <c r="B819" s="70"/>
      <c r="F819" s="66"/>
    </row>
    <row r="820" spans="2:6" ht="21" customHeight="1">
      <c r="B820" s="70"/>
      <c r="F820" s="66"/>
    </row>
    <row r="821" spans="2:6" ht="21" customHeight="1">
      <c r="B821" s="70"/>
      <c r="F821" s="66"/>
    </row>
    <row r="822" spans="2:6" ht="21" customHeight="1">
      <c r="B822" s="70"/>
      <c r="F822" s="66"/>
    </row>
    <row r="823" spans="2:6" ht="21" customHeight="1">
      <c r="B823" s="70"/>
      <c r="F823" s="66"/>
    </row>
    <row r="824" spans="2:6" ht="21" customHeight="1">
      <c r="B824" s="70"/>
      <c r="F824" s="66"/>
    </row>
    <row r="825" spans="2:6" ht="21" customHeight="1">
      <c r="B825" s="70"/>
      <c r="F825" s="66"/>
    </row>
    <row r="826" spans="2:6" ht="21" customHeight="1">
      <c r="B826" s="70"/>
      <c r="F826" s="66"/>
    </row>
    <row r="827" spans="2:6" ht="21" customHeight="1">
      <c r="B827" s="70"/>
      <c r="F827" s="66"/>
    </row>
    <row r="828" spans="2:6" ht="21" customHeight="1">
      <c r="B828" s="70"/>
      <c r="F828" s="66"/>
    </row>
    <row r="829" spans="2:6" ht="21" customHeight="1">
      <c r="B829" s="70"/>
      <c r="F829" s="66"/>
    </row>
    <row r="830" spans="2:6" ht="21" customHeight="1">
      <c r="B830" s="70"/>
      <c r="F830" s="66"/>
    </row>
    <row r="831" spans="2:6" ht="21" customHeight="1">
      <c r="B831" s="70"/>
      <c r="F831" s="66"/>
    </row>
    <row r="832" spans="2:6" ht="21" customHeight="1">
      <c r="B832" s="70"/>
      <c r="F832" s="66"/>
    </row>
    <row r="833" spans="2:6" ht="21" customHeight="1">
      <c r="B833" s="70"/>
      <c r="F833" s="66"/>
    </row>
    <row r="834" spans="2:6" ht="21" customHeight="1">
      <c r="B834" s="70"/>
      <c r="F834" s="66"/>
    </row>
    <row r="835" spans="2:6" ht="21" customHeight="1">
      <c r="B835" s="70"/>
      <c r="F835" s="66"/>
    </row>
    <row r="836" spans="2:6" ht="21" customHeight="1">
      <c r="B836" s="70"/>
      <c r="F836" s="66"/>
    </row>
    <row r="837" spans="2:6" ht="21" customHeight="1">
      <c r="B837" s="70"/>
      <c r="F837" s="66"/>
    </row>
    <row r="838" spans="2:6" ht="21" customHeight="1">
      <c r="B838" s="70"/>
      <c r="F838" s="66"/>
    </row>
    <row r="839" spans="2:6" ht="21" customHeight="1">
      <c r="B839" s="70"/>
      <c r="F839" s="66"/>
    </row>
    <row r="840" spans="2:6" ht="21" customHeight="1">
      <c r="B840" s="70"/>
      <c r="F840" s="66"/>
    </row>
    <row r="841" spans="2:6" ht="21" customHeight="1">
      <c r="B841" s="70"/>
      <c r="F841" s="66"/>
    </row>
    <row r="842" spans="2:6" ht="21" customHeight="1">
      <c r="B842" s="70"/>
      <c r="F842" s="66"/>
    </row>
    <row r="843" spans="2:6" ht="21" customHeight="1">
      <c r="B843" s="70"/>
      <c r="F843" s="66"/>
    </row>
    <row r="844" spans="2:6" ht="21" customHeight="1">
      <c r="B844" s="70"/>
      <c r="F844" s="66"/>
    </row>
    <row r="845" spans="2:6" ht="21" customHeight="1">
      <c r="B845" s="70"/>
      <c r="F845" s="66"/>
    </row>
    <row r="846" spans="2:6" ht="21" customHeight="1">
      <c r="B846" s="70"/>
      <c r="F846" s="66"/>
    </row>
    <row r="847" spans="2:6" ht="21" customHeight="1">
      <c r="B847" s="70"/>
      <c r="F847" s="66"/>
    </row>
    <row r="848" spans="2:6" ht="21" customHeight="1">
      <c r="B848" s="70"/>
      <c r="F848" s="66"/>
    </row>
    <row r="849" spans="2:6" ht="21" customHeight="1">
      <c r="B849" s="70"/>
      <c r="F849" s="66"/>
    </row>
    <row r="850" spans="2:6" ht="21" customHeight="1">
      <c r="B850" s="70"/>
      <c r="F850" s="66"/>
    </row>
    <row r="851" spans="2:6" ht="21" customHeight="1">
      <c r="B851" s="70"/>
      <c r="F851" s="66"/>
    </row>
    <row r="852" spans="2:6" ht="21" customHeight="1">
      <c r="B852" s="70"/>
      <c r="F852" s="66"/>
    </row>
    <row r="853" spans="2:6" ht="21" customHeight="1">
      <c r="B853" s="70"/>
      <c r="F853" s="66"/>
    </row>
    <row r="854" spans="2:6" ht="21" customHeight="1">
      <c r="B854" s="70"/>
      <c r="F854" s="66"/>
    </row>
    <row r="855" spans="2:6" ht="21" customHeight="1">
      <c r="B855" s="70"/>
      <c r="F855" s="66"/>
    </row>
    <row r="856" spans="2:6" ht="21" customHeight="1">
      <c r="B856" s="70"/>
      <c r="F856" s="66"/>
    </row>
    <row r="857" spans="2:6" ht="21" customHeight="1">
      <c r="B857" s="70"/>
      <c r="F857" s="66"/>
    </row>
    <row r="858" spans="2:6" ht="21" customHeight="1">
      <c r="B858" s="70"/>
      <c r="F858" s="66"/>
    </row>
    <row r="859" spans="2:6" ht="21" customHeight="1">
      <c r="B859" s="70"/>
      <c r="F859" s="66"/>
    </row>
    <row r="860" spans="2:6" ht="21" customHeight="1">
      <c r="B860" s="70"/>
      <c r="F860" s="66"/>
    </row>
    <row r="861" spans="2:6" ht="21" customHeight="1">
      <c r="B861" s="70"/>
      <c r="F861" s="66"/>
    </row>
    <row r="862" spans="2:6" ht="21" customHeight="1">
      <c r="B862" s="70"/>
      <c r="F862" s="66"/>
    </row>
    <row r="863" spans="2:6" ht="21" customHeight="1">
      <c r="B863" s="70"/>
      <c r="F863" s="66"/>
    </row>
    <row r="864" spans="2:6" ht="21" customHeight="1">
      <c r="B864" s="70"/>
      <c r="F864" s="66"/>
    </row>
    <row r="865" spans="2:6" ht="21" customHeight="1">
      <c r="B865" s="70"/>
      <c r="F865" s="66"/>
    </row>
    <row r="866" spans="2:6" ht="21" customHeight="1">
      <c r="B866" s="70"/>
      <c r="F866" s="66"/>
    </row>
    <row r="867" spans="2:6" ht="21" customHeight="1">
      <c r="B867" s="70"/>
      <c r="F867" s="66"/>
    </row>
    <row r="868" spans="2:6" ht="21" customHeight="1">
      <c r="B868" s="70"/>
      <c r="F868" s="66"/>
    </row>
    <row r="869" spans="2:6" ht="21" customHeight="1">
      <c r="B869" s="70"/>
      <c r="F869" s="66"/>
    </row>
    <row r="870" spans="2:6" ht="21" customHeight="1">
      <c r="B870" s="70"/>
      <c r="F870" s="66"/>
    </row>
    <row r="871" spans="2:6" ht="21" customHeight="1">
      <c r="B871" s="70"/>
      <c r="F871" s="66"/>
    </row>
    <row r="872" spans="2:6" ht="21" customHeight="1">
      <c r="B872" s="70"/>
      <c r="F872" s="66"/>
    </row>
    <row r="873" spans="2:6" ht="21" customHeight="1">
      <c r="B873" s="70"/>
      <c r="F873" s="66"/>
    </row>
    <row r="874" spans="2:6" ht="21" customHeight="1">
      <c r="B874" s="70"/>
      <c r="F874" s="66"/>
    </row>
    <row r="875" spans="2:6" ht="21" customHeight="1">
      <c r="B875" s="70"/>
      <c r="F875" s="66"/>
    </row>
    <row r="876" spans="2:6" ht="21" customHeight="1">
      <c r="B876" s="70"/>
      <c r="F876" s="66"/>
    </row>
    <row r="877" spans="2:6" ht="21" customHeight="1">
      <c r="B877" s="70"/>
      <c r="F877" s="66"/>
    </row>
    <row r="878" spans="2:6" ht="21" customHeight="1">
      <c r="B878" s="70"/>
      <c r="F878" s="66"/>
    </row>
    <row r="879" spans="2:6" ht="21" customHeight="1">
      <c r="B879" s="70"/>
      <c r="F879" s="66"/>
    </row>
    <row r="880" spans="2:6" ht="21" customHeight="1">
      <c r="B880" s="70"/>
      <c r="F880" s="66"/>
    </row>
    <row r="881" spans="2:6" ht="21" customHeight="1">
      <c r="B881" s="70"/>
      <c r="F881" s="66"/>
    </row>
    <row r="882" spans="2:6" ht="21" customHeight="1">
      <c r="B882" s="70"/>
      <c r="F882" s="66"/>
    </row>
    <row r="883" spans="2:6" ht="21" customHeight="1">
      <c r="B883" s="70"/>
      <c r="F883" s="66"/>
    </row>
    <row r="884" spans="2:6" ht="21" customHeight="1">
      <c r="B884" s="70"/>
      <c r="F884" s="66"/>
    </row>
    <row r="885" spans="2:6" ht="21" customHeight="1">
      <c r="B885" s="70"/>
      <c r="F885" s="66"/>
    </row>
    <row r="886" spans="2:6" ht="21" customHeight="1">
      <c r="B886" s="70"/>
      <c r="F886" s="66"/>
    </row>
    <row r="887" spans="2:6" ht="21" customHeight="1">
      <c r="B887" s="70"/>
      <c r="F887" s="66"/>
    </row>
    <row r="888" spans="2:6" ht="21" customHeight="1">
      <c r="B888" s="70"/>
      <c r="F888" s="66"/>
    </row>
    <row r="889" spans="2:6" ht="21" customHeight="1">
      <c r="B889" s="70"/>
      <c r="F889" s="66"/>
    </row>
    <row r="890" spans="2:6" ht="21" customHeight="1">
      <c r="B890" s="70"/>
      <c r="F890" s="66"/>
    </row>
    <row r="891" spans="2:6" ht="21" customHeight="1">
      <c r="B891" s="70"/>
      <c r="F891" s="66"/>
    </row>
    <row r="892" spans="2:6" ht="21" customHeight="1">
      <c r="B892" s="70"/>
      <c r="F892" s="66"/>
    </row>
    <row r="893" spans="2:6" ht="21" customHeight="1">
      <c r="B893" s="70"/>
      <c r="F893" s="66"/>
    </row>
    <row r="894" spans="2:6" ht="21" customHeight="1">
      <c r="B894" s="70"/>
      <c r="F894" s="66"/>
    </row>
    <row r="895" spans="2:6" ht="21" customHeight="1">
      <c r="B895" s="70"/>
      <c r="F895" s="66"/>
    </row>
    <row r="896" spans="2:6" ht="21" customHeight="1">
      <c r="B896" s="70"/>
      <c r="F896" s="66"/>
    </row>
    <row r="897" spans="2:6" ht="21" customHeight="1">
      <c r="B897" s="70"/>
      <c r="F897" s="66"/>
    </row>
    <row r="898" spans="2:6" ht="21" customHeight="1">
      <c r="B898" s="70"/>
      <c r="F898" s="66"/>
    </row>
    <row r="899" spans="2:6" ht="21" customHeight="1">
      <c r="B899" s="70"/>
      <c r="F899" s="66"/>
    </row>
    <row r="900" spans="2:6" ht="21" customHeight="1">
      <c r="B900" s="70"/>
      <c r="F900" s="66"/>
    </row>
    <row r="901" spans="2:6" ht="21" customHeight="1">
      <c r="B901" s="70"/>
      <c r="F901" s="66"/>
    </row>
    <row r="902" spans="2:6" ht="21" customHeight="1">
      <c r="B902" s="70"/>
      <c r="F902" s="66"/>
    </row>
    <row r="903" spans="2:6" ht="21" customHeight="1">
      <c r="B903" s="70"/>
      <c r="F903" s="66"/>
    </row>
    <row r="904" spans="2:6" ht="21" customHeight="1">
      <c r="B904" s="70"/>
      <c r="F904" s="66"/>
    </row>
    <row r="905" spans="2:6" ht="21" customHeight="1">
      <c r="B905" s="70"/>
      <c r="F905" s="66"/>
    </row>
    <row r="906" spans="2:6" ht="21" customHeight="1">
      <c r="B906" s="70"/>
      <c r="F906" s="66"/>
    </row>
    <row r="907" spans="2:6" ht="21" customHeight="1">
      <c r="B907" s="70"/>
      <c r="F907" s="66"/>
    </row>
    <row r="908" spans="2:6" ht="21" customHeight="1">
      <c r="B908" s="70"/>
      <c r="F908" s="66"/>
    </row>
    <row r="909" spans="2:6" ht="21" customHeight="1">
      <c r="B909" s="70"/>
      <c r="F909" s="66"/>
    </row>
    <row r="910" spans="2:6" ht="21" customHeight="1">
      <c r="B910" s="70"/>
      <c r="F910" s="66"/>
    </row>
    <row r="911" spans="2:6" ht="21" customHeight="1">
      <c r="B911" s="70"/>
      <c r="F911" s="66"/>
    </row>
    <row r="912" spans="2:6" ht="21" customHeight="1">
      <c r="B912" s="70"/>
      <c r="F912" s="66"/>
    </row>
    <row r="913" spans="2:6" ht="21" customHeight="1">
      <c r="B913" s="70"/>
      <c r="F913" s="66"/>
    </row>
    <row r="914" spans="2:6" ht="21" customHeight="1">
      <c r="B914" s="70"/>
      <c r="F914" s="66"/>
    </row>
    <row r="915" spans="2:6" ht="21" customHeight="1">
      <c r="B915" s="70"/>
      <c r="F915" s="66"/>
    </row>
    <row r="916" spans="2:6" ht="21" customHeight="1">
      <c r="B916" s="70"/>
      <c r="F916" s="66"/>
    </row>
    <row r="917" spans="2:6" ht="21" customHeight="1">
      <c r="B917" s="70"/>
      <c r="F917" s="66"/>
    </row>
    <row r="918" spans="2:6" ht="21" customHeight="1">
      <c r="B918" s="70"/>
      <c r="F918" s="66"/>
    </row>
    <row r="919" spans="2:6" ht="21" customHeight="1">
      <c r="B919" s="70"/>
      <c r="F919" s="66"/>
    </row>
    <row r="920" spans="2:6" ht="21" customHeight="1">
      <c r="B920" s="70"/>
      <c r="F920" s="66"/>
    </row>
    <row r="921" spans="2:6" ht="21" customHeight="1">
      <c r="B921" s="70"/>
      <c r="F921" s="66"/>
    </row>
    <row r="922" spans="2:6" ht="21" customHeight="1">
      <c r="B922" s="70"/>
      <c r="F922" s="66"/>
    </row>
    <row r="923" spans="2:6" ht="21" customHeight="1">
      <c r="B923" s="70"/>
      <c r="F923" s="66"/>
    </row>
    <row r="924" spans="2:6" ht="21" customHeight="1">
      <c r="B924" s="70"/>
      <c r="F924" s="66"/>
    </row>
    <row r="925" spans="2:6" ht="21" customHeight="1">
      <c r="B925" s="70"/>
      <c r="F925" s="66"/>
    </row>
    <row r="926" spans="2:6" ht="21" customHeight="1">
      <c r="B926" s="70"/>
      <c r="F926" s="66"/>
    </row>
    <row r="927" spans="2:6" ht="21" customHeight="1">
      <c r="B927" s="70"/>
      <c r="F927" s="66"/>
    </row>
    <row r="928" spans="2:6" ht="21" customHeight="1">
      <c r="B928" s="70"/>
      <c r="F928" s="66"/>
    </row>
    <row r="929" spans="2:6" ht="21" customHeight="1">
      <c r="B929" s="70"/>
      <c r="F929" s="66"/>
    </row>
    <row r="930" spans="2:6" ht="21" customHeight="1">
      <c r="B930" s="70"/>
      <c r="F930" s="66"/>
    </row>
    <row r="931" spans="2:6" ht="21" customHeight="1">
      <c r="B931" s="70"/>
      <c r="F931" s="66"/>
    </row>
    <row r="932" spans="2:6" ht="21" customHeight="1">
      <c r="B932" s="70"/>
      <c r="F932" s="66"/>
    </row>
    <row r="933" spans="2:6" ht="21" customHeight="1">
      <c r="B933" s="70"/>
      <c r="F933" s="66"/>
    </row>
    <row r="934" spans="2:6" ht="21" customHeight="1">
      <c r="B934" s="70"/>
      <c r="F934" s="66"/>
    </row>
    <row r="935" spans="2:6" ht="21" customHeight="1">
      <c r="B935" s="70"/>
      <c r="F935" s="66"/>
    </row>
    <row r="936" spans="2:6" ht="21" customHeight="1">
      <c r="B936" s="70"/>
      <c r="F936" s="66"/>
    </row>
    <row r="937" spans="2:6" ht="21" customHeight="1">
      <c r="B937" s="70"/>
      <c r="F937" s="66"/>
    </row>
    <row r="938" spans="2:6" ht="21" customHeight="1">
      <c r="B938" s="70"/>
      <c r="F938" s="66"/>
    </row>
    <row r="939" spans="2:6" ht="21" customHeight="1">
      <c r="B939" s="70"/>
      <c r="F939" s="66"/>
    </row>
    <row r="940" spans="2:6" ht="21" customHeight="1">
      <c r="B940" s="70"/>
      <c r="F940" s="66"/>
    </row>
    <row r="941" spans="2:6" ht="21" customHeight="1">
      <c r="B941" s="70"/>
      <c r="F941" s="66"/>
    </row>
    <row r="942" spans="2:6" ht="21" customHeight="1">
      <c r="B942" s="70"/>
      <c r="F942" s="66"/>
    </row>
    <row r="943" spans="2:6" ht="21" customHeight="1">
      <c r="B943" s="70"/>
      <c r="F943" s="66"/>
    </row>
    <row r="944" spans="2:6" ht="21" customHeight="1">
      <c r="B944" s="70"/>
      <c r="F944" s="66"/>
    </row>
    <row r="945" spans="2:6" ht="21" customHeight="1">
      <c r="B945" s="70"/>
      <c r="F945" s="66"/>
    </row>
    <row r="946" spans="2:6" ht="21" customHeight="1">
      <c r="B946" s="70"/>
      <c r="F946" s="66"/>
    </row>
    <row r="947" spans="2:6" ht="21" customHeight="1">
      <c r="B947" s="70"/>
      <c r="F947" s="66"/>
    </row>
    <row r="948" spans="2:6" ht="21" customHeight="1">
      <c r="B948" s="70"/>
      <c r="F948" s="66"/>
    </row>
    <row r="949" spans="2:6" ht="21" customHeight="1">
      <c r="B949" s="70"/>
      <c r="F949" s="66"/>
    </row>
    <row r="950" spans="2:6" ht="21" customHeight="1">
      <c r="B950" s="70"/>
      <c r="F950" s="66"/>
    </row>
    <row r="951" spans="2:6" ht="21" customHeight="1">
      <c r="B951" s="70"/>
      <c r="F951" s="66"/>
    </row>
    <row r="952" spans="2:6" ht="21" customHeight="1">
      <c r="B952" s="70"/>
      <c r="F952" s="66"/>
    </row>
    <row r="953" spans="2:6" ht="21" customHeight="1">
      <c r="B953" s="70"/>
      <c r="F953" s="66"/>
    </row>
    <row r="954" spans="2:6" ht="21" customHeight="1">
      <c r="B954" s="70"/>
      <c r="F954" s="66"/>
    </row>
    <row r="955" spans="2:6" ht="21" customHeight="1">
      <c r="B955" s="70"/>
      <c r="F955" s="66"/>
    </row>
    <row r="956" spans="2:6" ht="21" customHeight="1">
      <c r="B956" s="70"/>
      <c r="F956" s="66"/>
    </row>
    <row r="957" spans="2:6" ht="21" customHeight="1">
      <c r="B957" s="70"/>
      <c r="F957" s="66"/>
    </row>
    <row r="958" spans="2:6" ht="21" customHeight="1">
      <c r="B958" s="70"/>
      <c r="F958" s="66"/>
    </row>
    <row r="959" spans="2:6" ht="21" customHeight="1">
      <c r="B959" s="70"/>
      <c r="F959" s="66"/>
    </row>
    <row r="960" spans="2:6" ht="21" customHeight="1">
      <c r="B960" s="70"/>
      <c r="F960" s="66"/>
    </row>
    <row r="961" spans="2:6" ht="21" customHeight="1">
      <c r="B961" s="70"/>
      <c r="F961" s="66"/>
    </row>
    <row r="962" spans="2:6" ht="21" customHeight="1">
      <c r="B962" s="70"/>
      <c r="F962" s="66"/>
    </row>
    <row r="963" spans="2:6" ht="21" customHeight="1">
      <c r="B963" s="70"/>
      <c r="F963" s="66"/>
    </row>
    <row r="964" spans="2:6" ht="21" customHeight="1">
      <c r="B964" s="70"/>
      <c r="F964" s="66"/>
    </row>
    <row r="965" spans="2:6" ht="21" customHeight="1">
      <c r="B965" s="70"/>
      <c r="F965" s="66"/>
    </row>
    <row r="966" spans="2:6" ht="21" customHeight="1">
      <c r="B966" s="70"/>
      <c r="F966" s="66"/>
    </row>
    <row r="967" spans="2:6" ht="21" customHeight="1">
      <c r="B967" s="70"/>
      <c r="F967" s="66"/>
    </row>
    <row r="968" spans="2:6" ht="21" customHeight="1">
      <c r="B968" s="70"/>
      <c r="F968" s="66"/>
    </row>
    <row r="969" spans="2:6" ht="21" customHeight="1">
      <c r="B969" s="70"/>
      <c r="F969" s="66"/>
    </row>
    <row r="970" spans="2:6" ht="21" customHeight="1">
      <c r="B970" s="70"/>
      <c r="F970" s="66"/>
    </row>
    <row r="971" spans="2:6" ht="21" customHeight="1">
      <c r="B971" s="70"/>
      <c r="F971" s="66"/>
    </row>
    <row r="972" spans="2:6" ht="21" customHeight="1">
      <c r="B972" s="70"/>
      <c r="F972" s="66"/>
    </row>
    <row r="973" spans="2:6" ht="21" customHeight="1">
      <c r="B973" s="70"/>
      <c r="F973" s="66"/>
    </row>
    <row r="974" spans="2:6" ht="21" customHeight="1">
      <c r="B974" s="70"/>
      <c r="F974" s="66"/>
    </row>
    <row r="975" spans="2:6" ht="21" customHeight="1">
      <c r="B975" s="70"/>
      <c r="F975" s="66"/>
    </row>
    <row r="976" spans="2:6" ht="21" customHeight="1">
      <c r="B976" s="70"/>
      <c r="F976" s="66"/>
    </row>
    <row r="977" spans="2:6" ht="21" customHeight="1">
      <c r="B977" s="70"/>
      <c r="F977" s="66"/>
    </row>
    <row r="978" spans="2:6" ht="21" customHeight="1">
      <c r="B978" s="70"/>
      <c r="F978" s="66"/>
    </row>
    <row r="979" spans="2:6" ht="21" customHeight="1">
      <c r="B979" s="70"/>
      <c r="F979" s="66"/>
    </row>
    <row r="980" spans="2:6" ht="21" customHeight="1">
      <c r="B980" s="70"/>
      <c r="F980" s="66"/>
    </row>
    <row r="981" spans="2:6" ht="21" customHeight="1">
      <c r="B981" s="70"/>
      <c r="F981" s="66"/>
    </row>
    <row r="982" spans="2:6" ht="21" customHeight="1">
      <c r="B982" s="70"/>
      <c r="F982" s="66"/>
    </row>
    <row r="983" spans="2:6" ht="21" customHeight="1">
      <c r="B983" s="70"/>
      <c r="F983" s="66"/>
    </row>
    <row r="984" spans="2:6" ht="21" customHeight="1">
      <c r="B984" s="70"/>
      <c r="F984" s="66"/>
    </row>
    <row r="985" spans="2:6" ht="21" customHeight="1">
      <c r="B985" s="70"/>
      <c r="F985" s="66"/>
    </row>
    <row r="986" spans="2:6" ht="21" customHeight="1">
      <c r="B986" s="70"/>
      <c r="F986" s="66"/>
    </row>
    <row r="987" spans="2:6" ht="21" customHeight="1">
      <c r="B987" s="70"/>
      <c r="F987" s="66"/>
    </row>
    <row r="988" spans="2:6" ht="21" customHeight="1">
      <c r="B988" s="70"/>
      <c r="F988" s="66"/>
    </row>
    <row r="989" spans="2:6" ht="21" customHeight="1">
      <c r="B989" s="70"/>
      <c r="F989" s="66"/>
    </row>
    <row r="990" spans="2:6" ht="21" customHeight="1">
      <c r="B990" s="70"/>
      <c r="F990" s="66"/>
    </row>
    <row r="991" spans="2:6" ht="21" customHeight="1">
      <c r="B991" s="70"/>
      <c r="F991" s="66"/>
    </row>
    <row r="992" spans="2:6" ht="21" customHeight="1">
      <c r="B992" s="70"/>
      <c r="F992" s="66"/>
    </row>
    <row r="993" spans="2:6" ht="21" customHeight="1">
      <c r="B993" s="70"/>
      <c r="F993" s="66"/>
    </row>
    <row r="994" spans="2:6" ht="21" customHeight="1">
      <c r="B994" s="70"/>
      <c r="F994" s="66"/>
    </row>
    <row r="995" spans="2:6" ht="21" customHeight="1">
      <c r="B995" s="70"/>
      <c r="F995" s="66"/>
    </row>
  </sheetData>
  <mergeCells count="3">
    <mergeCell ref="A26:B26"/>
    <mergeCell ref="C26:E26"/>
    <mergeCell ref="I2:N2"/>
  </mergeCells>
  <conditionalFormatting sqref="F3:F22">
    <cfRule type="expression" dxfId="34" priority="4">
      <formula>F3&lt;=SMALL($F$3:$F$22,8)</formula>
    </cfRule>
  </conditionalFormatting>
  <conditionalFormatting sqref="N4:N22">
    <cfRule type="expression" dxfId="33" priority="1">
      <formula>N4&lt;=SMALL($F$3:$F$22,8)</formula>
    </cfRule>
  </conditionalFormatting>
  <hyperlinks>
    <hyperlink ref="C26" r:id="rId1" xr:uid="{67AC018F-24AF-45F3-8509-7F5AF4154E6C}"/>
  </hyperlinks>
  <pageMargins left="0.7" right="0.7" top="0.75" bottom="0.75" header="0" footer="0"/>
  <pageSetup orientation="portrait"/>
  <headerFooter>
    <oddFooter>&amp;C_x000D_&amp;1#&amp;"Calibri"&amp;10&amp;K000000 OFFICIAL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68FD-079C-4CC4-9DD1-DCB9B4150ABF}">
  <dimension ref="B3:AK28"/>
  <sheetViews>
    <sheetView showGridLines="0" zoomScale="99" workbookViewId="0">
      <selection activeCell="AL25" sqref="AL25"/>
    </sheetView>
  </sheetViews>
  <sheetFormatPr defaultColWidth="8.85546875" defaultRowHeight="14.45"/>
  <cols>
    <col min="1" max="1" width="8.85546875" style="5"/>
    <col min="2" max="2" width="13.42578125" style="1" customWidth="1"/>
    <col min="3" max="3" width="7.140625" style="1" customWidth="1"/>
    <col min="4" max="5" width="5.42578125" style="4" customWidth="1"/>
    <col min="6" max="6" width="5.7109375" style="4" customWidth="1"/>
    <col min="7" max="7" width="5.85546875" style="4" customWidth="1"/>
    <col min="8" max="8" width="5.42578125" style="4" customWidth="1"/>
    <col min="9" max="9" width="6" style="4" customWidth="1"/>
    <col min="10" max="10" width="5.7109375" style="4" customWidth="1"/>
    <col min="11" max="11" width="6" style="4" customWidth="1"/>
    <col min="12" max="12" width="5.42578125" style="4" customWidth="1"/>
    <col min="13" max="13" width="6.85546875" style="3" customWidth="1"/>
    <col min="14" max="14" width="6" style="4" customWidth="1"/>
    <col min="15" max="15" width="5.85546875" style="4" customWidth="1"/>
    <col min="16" max="16" width="6.140625" style="4" customWidth="1"/>
    <col min="17" max="19" width="5.42578125" style="4" customWidth="1"/>
    <col min="20" max="20" width="5.28515625" style="4" customWidth="1"/>
    <col min="21" max="21" width="5.140625" style="4" customWidth="1"/>
    <col min="22" max="22" width="5.42578125" style="4" customWidth="1"/>
    <col min="23" max="23" width="7.28515625" style="3" customWidth="1"/>
    <col min="24" max="24" width="5.7109375" style="3" customWidth="1"/>
    <col min="25" max="25" width="6.5703125" style="3" customWidth="1"/>
    <col min="26" max="32" width="8.85546875" style="5"/>
    <col min="33" max="33" width="9.7109375" style="5" bestFit="1" customWidth="1"/>
    <col min="34" max="34" width="11.42578125" style="5" bestFit="1" customWidth="1"/>
    <col min="35" max="35" width="8.85546875" style="5"/>
    <col min="36" max="36" width="7.28515625" style="5" customWidth="1"/>
    <col min="37" max="37" width="13.85546875" style="5" bestFit="1" customWidth="1"/>
    <col min="38" max="16384" width="8.85546875" style="5"/>
  </cols>
  <sheetData>
    <row r="3" spans="2:37" ht="15" thickBot="1"/>
    <row r="4" spans="2:37" ht="15.6" thickTop="1" thickBot="1">
      <c r="C4" s="268" t="s">
        <v>82</v>
      </c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69"/>
    </row>
    <row r="5" spans="2:37" ht="15.6" thickTop="1" thickBot="1">
      <c r="C5" s="268" t="s">
        <v>83</v>
      </c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70"/>
      <c r="AA5" s="270"/>
      <c r="AB5" s="270"/>
      <c r="AC5" s="270"/>
      <c r="AD5" s="270"/>
      <c r="AE5" s="270"/>
    </row>
    <row r="6" spans="2:37" s="1" customFormat="1" ht="15.6" thickTop="1" thickBot="1">
      <c r="C6" s="38" t="s">
        <v>84</v>
      </c>
      <c r="D6" s="39">
        <v>1</v>
      </c>
      <c r="E6" s="39">
        <v>2</v>
      </c>
      <c r="F6" s="39">
        <v>3</v>
      </c>
      <c r="G6" s="39">
        <v>4</v>
      </c>
      <c r="H6" s="39">
        <v>5</v>
      </c>
      <c r="I6" s="39">
        <v>6</v>
      </c>
      <c r="J6" s="39">
        <v>7</v>
      </c>
      <c r="K6" s="39">
        <v>8</v>
      </c>
      <c r="L6" s="39">
        <v>9</v>
      </c>
      <c r="M6" s="39" t="s">
        <v>85</v>
      </c>
      <c r="N6" s="39">
        <v>10</v>
      </c>
      <c r="O6" s="39">
        <v>11</v>
      </c>
      <c r="P6" s="39">
        <v>12</v>
      </c>
      <c r="Q6" s="39">
        <v>13</v>
      </c>
      <c r="R6" s="39">
        <v>14</v>
      </c>
      <c r="S6" s="39">
        <v>15</v>
      </c>
      <c r="T6" s="39">
        <v>16</v>
      </c>
      <c r="U6" s="39">
        <v>17</v>
      </c>
      <c r="V6" s="39">
        <v>18</v>
      </c>
      <c r="W6" s="39" t="s">
        <v>86</v>
      </c>
      <c r="X6" s="39" t="s">
        <v>7</v>
      </c>
      <c r="Y6" s="78" t="s">
        <v>87</v>
      </c>
      <c r="Z6" s="84" t="s">
        <v>2</v>
      </c>
      <c r="AA6" s="85" t="s">
        <v>3</v>
      </c>
      <c r="AB6" s="85" t="s">
        <v>4</v>
      </c>
      <c r="AC6" s="85" t="s">
        <v>5</v>
      </c>
      <c r="AD6" s="85" t="s">
        <v>6</v>
      </c>
      <c r="AE6" s="86" t="s">
        <v>7</v>
      </c>
      <c r="AF6" s="86" t="s">
        <v>9</v>
      </c>
    </row>
    <row r="7" spans="2:37" s="1" customFormat="1" ht="15.6" thickTop="1" thickBot="1">
      <c r="C7" s="38" t="s">
        <v>88</v>
      </c>
      <c r="D7" s="39">
        <v>4</v>
      </c>
      <c r="E7" s="39">
        <v>5</v>
      </c>
      <c r="F7" s="39">
        <v>4</v>
      </c>
      <c r="G7" s="39">
        <v>3</v>
      </c>
      <c r="H7" s="39">
        <v>4</v>
      </c>
      <c r="I7" s="39">
        <v>4</v>
      </c>
      <c r="J7" s="39">
        <v>3</v>
      </c>
      <c r="K7" s="39">
        <v>5</v>
      </c>
      <c r="L7" s="39">
        <v>4</v>
      </c>
      <c r="M7" s="39">
        <f>SUM(D7:L7)</f>
        <v>36</v>
      </c>
      <c r="N7" s="39">
        <v>5</v>
      </c>
      <c r="O7" s="39">
        <v>4</v>
      </c>
      <c r="P7" s="39">
        <v>3</v>
      </c>
      <c r="Q7" s="39">
        <v>4</v>
      </c>
      <c r="R7" s="39">
        <v>4</v>
      </c>
      <c r="S7" s="39">
        <v>3</v>
      </c>
      <c r="T7" s="39">
        <v>4</v>
      </c>
      <c r="U7" s="39">
        <v>4</v>
      </c>
      <c r="V7" s="39">
        <v>5</v>
      </c>
      <c r="W7" s="39">
        <f>SUM(N7:V7)</f>
        <v>36</v>
      </c>
      <c r="X7" s="39">
        <f>M7+W7</f>
        <v>72</v>
      </c>
      <c r="Y7" s="78"/>
      <c r="Z7" s="111"/>
      <c r="AA7" s="112" t="s">
        <v>18</v>
      </c>
      <c r="AB7" s="112" t="s">
        <v>18</v>
      </c>
      <c r="AC7" s="112" t="s">
        <v>18</v>
      </c>
      <c r="AD7" s="112" t="s">
        <v>18</v>
      </c>
      <c r="AE7" s="113" t="s">
        <v>18</v>
      </c>
      <c r="AF7" s="86"/>
      <c r="AG7" s="6" t="s">
        <v>17</v>
      </c>
      <c r="AH7" s="7" t="s">
        <v>18</v>
      </c>
      <c r="AJ7" s="121"/>
      <c r="AK7" s="121"/>
    </row>
    <row r="8" spans="2:37" s="1" customFormat="1" ht="15.6" thickTop="1" thickBot="1">
      <c r="C8" s="38" t="s">
        <v>89</v>
      </c>
      <c r="D8" s="39">
        <v>5</v>
      </c>
      <c r="E8" s="39">
        <v>9</v>
      </c>
      <c r="F8" s="39">
        <v>3</v>
      </c>
      <c r="G8" s="39">
        <v>14</v>
      </c>
      <c r="H8" s="39">
        <v>11</v>
      </c>
      <c r="I8" s="39">
        <v>15</v>
      </c>
      <c r="J8" s="39">
        <v>18</v>
      </c>
      <c r="K8" s="39">
        <v>13</v>
      </c>
      <c r="L8" s="39">
        <v>1</v>
      </c>
      <c r="M8" s="39"/>
      <c r="N8" s="39">
        <v>12</v>
      </c>
      <c r="O8" s="39">
        <v>10</v>
      </c>
      <c r="P8" s="39">
        <v>16</v>
      </c>
      <c r="Q8" s="39">
        <v>8</v>
      </c>
      <c r="R8" s="39">
        <v>2</v>
      </c>
      <c r="S8" s="39">
        <v>17</v>
      </c>
      <c r="T8" s="39">
        <v>6</v>
      </c>
      <c r="U8" s="39">
        <v>7</v>
      </c>
      <c r="V8" s="39">
        <v>4</v>
      </c>
      <c r="W8" s="39"/>
      <c r="X8" s="39"/>
      <c r="Y8" s="78"/>
      <c r="Z8" s="114"/>
      <c r="AA8" s="115"/>
      <c r="AB8" s="115"/>
      <c r="AC8" s="115"/>
      <c r="AD8" s="115"/>
      <c r="AE8" s="116"/>
      <c r="AF8" s="116"/>
      <c r="AG8" s="9" t="s">
        <v>27</v>
      </c>
      <c r="AH8" s="10">
        <v>70</v>
      </c>
      <c r="AJ8" s="122"/>
      <c r="AK8" s="123"/>
    </row>
    <row r="9" spans="2:37" ht="15.6" thickTop="1" thickBot="1">
      <c r="C9" s="40" t="s">
        <v>90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79"/>
      <c r="Z9" s="111"/>
      <c r="AA9" s="112"/>
      <c r="AB9" s="112"/>
      <c r="AC9" s="112"/>
      <c r="AD9" s="112"/>
      <c r="AE9" s="113"/>
      <c r="AF9" s="116"/>
      <c r="AG9" s="11" t="s">
        <v>32</v>
      </c>
      <c r="AH9" s="12">
        <v>50</v>
      </c>
      <c r="AJ9" s="122"/>
      <c r="AK9" s="117"/>
    </row>
    <row r="10" spans="2:37" ht="15.6" thickTop="1" thickBot="1">
      <c r="B10" s="42" t="s">
        <v>13</v>
      </c>
      <c r="C10" s="54">
        <v>15</v>
      </c>
      <c r="D10" s="43">
        <v>4</v>
      </c>
      <c r="E10" s="43">
        <v>6</v>
      </c>
      <c r="F10" s="43">
        <v>8</v>
      </c>
      <c r="G10" s="43">
        <v>3</v>
      </c>
      <c r="H10" s="43">
        <v>5</v>
      </c>
      <c r="I10" s="43">
        <v>8</v>
      </c>
      <c r="J10" s="43">
        <v>3</v>
      </c>
      <c r="K10" s="43">
        <v>5</v>
      </c>
      <c r="L10" s="43">
        <v>6</v>
      </c>
      <c r="M10" s="43">
        <f t="shared" ref="M10:M17" si="0">SUM(D10:L10)</f>
        <v>48</v>
      </c>
      <c r="N10" s="43">
        <v>6</v>
      </c>
      <c r="O10" s="43">
        <v>6</v>
      </c>
      <c r="P10" s="43">
        <v>3</v>
      </c>
      <c r="Q10" s="43">
        <v>6</v>
      </c>
      <c r="R10" s="43">
        <v>6</v>
      </c>
      <c r="S10" s="43">
        <v>8</v>
      </c>
      <c r="T10" s="43">
        <v>7</v>
      </c>
      <c r="U10" s="43">
        <v>4</v>
      </c>
      <c r="V10" s="43">
        <v>8</v>
      </c>
      <c r="W10" s="43">
        <f t="shared" ref="W10:W17" si="1">SUM(N10:V10)</f>
        <v>54</v>
      </c>
      <c r="X10" s="127">
        <f t="shared" ref="X10:X17" si="2">+M10+W10</f>
        <v>102</v>
      </c>
      <c r="Y10" s="80">
        <f>X11</f>
        <v>26</v>
      </c>
      <c r="Z10" s="108">
        <f>X10-C10</f>
        <v>87</v>
      </c>
      <c r="AA10" s="109"/>
      <c r="AB10" s="109"/>
      <c r="AC10" s="109"/>
      <c r="AD10" s="109"/>
      <c r="AE10" s="110"/>
      <c r="AF10" s="116">
        <v>5</v>
      </c>
      <c r="AG10" s="11" t="s">
        <v>37</v>
      </c>
      <c r="AH10" s="12">
        <v>40</v>
      </c>
      <c r="AJ10" s="35"/>
      <c r="AK10" s="123"/>
    </row>
    <row r="11" spans="2:37" ht="15.6" thickTop="1" thickBot="1">
      <c r="B11" s="44" t="s">
        <v>91</v>
      </c>
      <c r="C11" s="54"/>
      <c r="D11" s="43">
        <f>MAX(0,2+D$7+(D$8&lt;=$C10)+(D$8&lt;=MAX($C10-18,0))+(D$8&lt;=MAX($C10-36,0))-D10)*NOT(ISBLANK($C10))</f>
        <v>3</v>
      </c>
      <c r="E11" s="43">
        <f t="shared" ref="E11:L11" si="3">MAX(0,2+E$7+(E$8&lt;=$C10)+(E$8&lt;=MAX($C10-18,0))+(E$8&lt;=MAX($C10-36,0))-E10)*NOT(ISBLANK($C10))</f>
        <v>2</v>
      </c>
      <c r="F11" s="43">
        <f t="shared" si="3"/>
        <v>0</v>
      </c>
      <c r="G11" s="43">
        <f t="shared" si="3"/>
        <v>3</v>
      </c>
      <c r="H11" s="43">
        <f t="shared" si="3"/>
        <v>2</v>
      </c>
      <c r="I11" s="43">
        <f t="shared" si="3"/>
        <v>0</v>
      </c>
      <c r="J11" s="43">
        <f t="shared" si="3"/>
        <v>2</v>
      </c>
      <c r="K11" s="43">
        <f t="shared" si="3"/>
        <v>3</v>
      </c>
      <c r="L11" s="43">
        <f t="shared" si="3"/>
        <v>1</v>
      </c>
      <c r="M11" s="43">
        <f t="shared" si="0"/>
        <v>16</v>
      </c>
      <c r="N11" s="43">
        <f t="shared" ref="N11:V11" si="4">MAX(0,2+N$7+(N$8&lt;=$C10)+(N$8&lt;=MAX($C10-18,0))+(N$8&lt;=MAX($C10-36,0))-N10)*NOT(ISBLANK($C10))</f>
        <v>2</v>
      </c>
      <c r="O11" s="43">
        <f t="shared" si="4"/>
        <v>1</v>
      </c>
      <c r="P11" s="43">
        <f t="shared" si="4"/>
        <v>2</v>
      </c>
      <c r="Q11" s="43">
        <f t="shared" si="4"/>
        <v>1</v>
      </c>
      <c r="R11" s="43">
        <f t="shared" si="4"/>
        <v>1</v>
      </c>
      <c r="S11" s="43">
        <f t="shared" si="4"/>
        <v>0</v>
      </c>
      <c r="T11" s="43">
        <f t="shared" si="4"/>
        <v>0</v>
      </c>
      <c r="U11" s="43">
        <f t="shared" si="4"/>
        <v>3</v>
      </c>
      <c r="V11" s="43">
        <f t="shared" si="4"/>
        <v>0</v>
      </c>
      <c r="W11" s="43">
        <f t="shared" si="1"/>
        <v>10</v>
      </c>
      <c r="X11" s="43">
        <f t="shared" si="2"/>
        <v>26</v>
      </c>
      <c r="Y11" s="80"/>
      <c r="Z11" s="105" cm="1">
        <f t="array" ref="Z11">_xlfn.IFS(
    AND(Z10 &gt;= 50, Z10 &lt;= 70), 70,
    AND(Z10 &gt;= 70, Z10 &lt;= 75), 50,
    AND(Z10 &gt;= 75, Z10 &lt;= 80), 40,
    AND(Z10 &gt;= 81, Z10 &lt;= 85), 35,
    AND(Z10 &gt;= 85, Z10 &lt;= 90), 30,
    AND(Z10 &gt;= 90, Z10 &lt;= 110), 25,
 AND(Z10 &gt;= 110),0
)</f>
        <v>30</v>
      </c>
      <c r="AA11" s="106">
        <f>SUMIF(D11:L11, "&gt;2")+SUMIF(N11:V11, "&gt;2")</f>
        <v>12</v>
      </c>
      <c r="AB11" s="128">
        <v>10</v>
      </c>
      <c r="AC11" s="128">
        <v>5</v>
      </c>
      <c r="AD11" s="128">
        <v>5</v>
      </c>
      <c r="AE11" s="107">
        <f>SUM(Z11:AD11)</f>
        <v>62</v>
      </c>
      <c r="AF11" s="116"/>
      <c r="AG11" s="11" t="s">
        <v>40</v>
      </c>
      <c r="AH11" s="12">
        <v>35</v>
      </c>
      <c r="AJ11" s="35"/>
      <c r="AK11" s="118"/>
    </row>
    <row r="12" spans="2:37" ht="15.6" thickTop="1" thickBot="1">
      <c r="B12" s="45" t="s">
        <v>14</v>
      </c>
      <c r="C12" s="55">
        <v>20</v>
      </c>
      <c r="D12" s="46">
        <v>7</v>
      </c>
      <c r="E12" s="46">
        <v>5</v>
      </c>
      <c r="F12" s="46">
        <v>5</v>
      </c>
      <c r="G12" s="46">
        <v>5</v>
      </c>
      <c r="H12" s="46">
        <v>5</v>
      </c>
      <c r="I12" s="46">
        <v>4</v>
      </c>
      <c r="J12" s="46">
        <v>4</v>
      </c>
      <c r="K12" s="46">
        <v>4</v>
      </c>
      <c r="L12" s="46">
        <v>7</v>
      </c>
      <c r="M12" s="46">
        <f t="shared" si="0"/>
        <v>46</v>
      </c>
      <c r="N12" s="46">
        <v>8</v>
      </c>
      <c r="O12" s="46">
        <v>9</v>
      </c>
      <c r="P12" s="46">
        <v>5</v>
      </c>
      <c r="Q12" s="46">
        <v>5</v>
      </c>
      <c r="R12" s="46">
        <v>5</v>
      </c>
      <c r="S12" s="46">
        <v>2</v>
      </c>
      <c r="T12" s="46">
        <v>6</v>
      </c>
      <c r="U12" s="46">
        <v>5</v>
      </c>
      <c r="V12" s="46">
        <v>6</v>
      </c>
      <c r="W12" s="46">
        <f t="shared" si="1"/>
        <v>51</v>
      </c>
      <c r="X12" s="126">
        <f t="shared" si="2"/>
        <v>97</v>
      </c>
      <c r="Y12" s="81">
        <f>X13</f>
        <v>33</v>
      </c>
      <c r="Z12" s="102">
        <f>X12-C12</f>
        <v>77</v>
      </c>
      <c r="AA12" s="103"/>
      <c r="AB12" s="103"/>
      <c r="AC12" s="103"/>
      <c r="AD12" s="103"/>
      <c r="AE12" s="104"/>
      <c r="AF12" s="116">
        <v>4</v>
      </c>
      <c r="AG12" s="11" t="s">
        <v>42</v>
      </c>
      <c r="AH12" s="12">
        <v>30</v>
      </c>
      <c r="AJ12" s="36"/>
      <c r="AK12" s="123"/>
    </row>
    <row r="13" spans="2:37" ht="15.6" thickTop="1" thickBot="1">
      <c r="B13" s="47" t="s">
        <v>91</v>
      </c>
      <c r="C13" s="55"/>
      <c r="D13" s="46">
        <f>MAX(0,2+D$7+(D$8&lt;=$C12)+(D$8&lt;=MAX($C12-18,0))+(D$8&lt;=MAX($C12-36,0))-D12)*NOT(ISBLANK($C12))</f>
        <v>0</v>
      </c>
      <c r="E13" s="46">
        <f t="shared" ref="E13:L13" si="5">MAX(0,2+E$7+(E$8&lt;=$C12)+(E$8&lt;=MAX($C12-18,0))+(E$8&lt;=MAX($C12-36,0))-E12)*NOT(ISBLANK($C12))</f>
        <v>3</v>
      </c>
      <c r="F13" s="46">
        <f t="shared" si="5"/>
        <v>2</v>
      </c>
      <c r="G13" s="46">
        <f t="shared" si="5"/>
        <v>1</v>
      </c>
      <c r="H13" s="46">
        <f t="shared" si="5"/>
        <v>2</v>
      </c>
      <c r="I13" s="46">
        <f t="shared" si="5"/>
        <v>3</v>
      </c>
      <c r="J13" s="46">
        <f t="shared" si="5"/>
        <v>2</v>
      </c>
      <c r="K13" s="46">
        <f t="shared" si="5"/>
        <v>4</v>
      </c>
      <c r="L13" s="46">
        <f t="shared" si="5"/>
        <v>1</v>
      </c>
      <c r="M13" s="46">
        <f t="shared" si="0"/>
        <v>18</v>
      </c>
      <c r="N13" s="46">
        <f t="shared" ref="N13:V13" si="6">MAX(0,2+N$7+(N$8&lt;=$C12)+(N$8&lt;=MAX($C12-18,0))+(N$8&lt;=MAX($C12-36,0))-N12)*NOT(ISBLANK($C12))</f>
        <v>0</v>
      </c>
      <c r="O13" s="46">
        <f t="shared" si="6"/>
        <v>0</v>
      </c>
      <c r="P13" s="46">
        <f t="shared" si="6"/>
        <v>1</v>
      </c>
      <c r="Q13" s="46">
        <f t="shared" si="6"/>
        <v>2</v>
      </c>
      <c r="R13" s="46">
        <f t="shared" si="6"/>
        <v>3</v>
      </c>
      <c r="S13" s="46">
        <f t="shared" si="6"/>
        <v>4</v>
      </c>
      <c r="T13" s="46">
        <f t="shared" si="6"/>
        <v>1</v>
      </c>
      <c r="U13" s="46">
        <f t="shared" si="6"/>
        <v>2</v>
      </c>
      <c r="V13" s="46">
        <f t="shared" si="6"/>
        <v>2</v>
      </c>
      <c r="W13" s="46">
        <f t="shared" si="1"/>
        <v>15</v>
      </c>
      <c r="X13" s="46">
        <f t="shared" si="2"/>
        <v>33</v>
      </c>
      <c r="Y13" s="81"/>
      <c r="Z13" s="99" cm="1">
        <f t="array" ref="Z13">_xlfn.IFS(
    AND(Z12 &gt;= 50, Z12 &lt;= 70), 70,
    AND(Z12 &gt;= 70, Z12 &lt;= 75), 50,
    AND(Z12 &gt;= 75, Z12 &lt;= 80), 40,
    AND(Z12 &gt;= 81, Z12 &lt;= 85), 35,
    AND(Z12 &gt;= 85, Z12 &lt;= 90), 30,
    AND(Z12 &gt;= 90, Z12 &lt;= 110), 25,
 AND(Z12 &gt;= 110),0
)</f>
        <v>40</v>
      </c>
      <c r="AA13" s="100">
        <f>SUMIF(D13:L13, "&gt;2")+SUMIF(N13:V13, "&gt;2")</f>
        <v>17</v>
      </c>
      <c r="AB13" s="128">
        <v>0</v>
      </c>
      <c r="AC13" s="128"/>
      <c r="AD13" s="128">
        <v>0</v>
      </c>
      <c r="AE13" s="101">
        <f>SUM(Z13:AD13)</f>
        <v>57</v>
      </c>
      <c r="AF13" s="116"/>
      <c r="AG13" s="13" t="s">
        <v>44</v>
      </c>
      <c r="AH13" s="14">
        <v>25</v>
      </c>
      <c r="AJ13" s="36"/>
      <c r="AK13" s="119"/>
    </row>
    <row r="14" spans="2:37" ht="15.6" thickTop="1" thickBot="1">
      <c r="B14" s="48" t="s">
        <v>12</v>
      </c>
      <c r="C14" s="56">
        <v>25</v>
      </c>
      <c r="D14" s="49">
        <v>5</v>
      </c>
      <c r="E14" s="49">
        <v>8</v>
      </c>
      <c r="F14" s="49">
        <v>8</v>
      </c>
      <c r="G14" s="49">
        <v>4</v>
      </c>
      <c r="H14" s="49">
        <v>3</v>
      </c>
      <c r="I14" s="49">
        <v>6</v>
      </c>
      <c r="J14" s="49">
        <v>3</v>
      </c>
      <c r="K14" s="49">
        <v>9</v>
      </c>
      <c r="L14" s="49">
        <v>5</v>
      </c>
      <c r="M14" s="49">
        <f t="shared" si="0"/>
        <v>51</v>
      </c>
      <c r="N14" s="49">
        <v>5</v>
      </c>
      <c r="O14" s="49">
        <v>4</v>
      </c>
      <c r="P14" s="49">
        <v>5</v>
      </c>
      <c r="Q14" s="49">
        <v>6</v>
      </c>
      <c r="R14" s="49">
        <v>6</v>
      </c>
      <c r="S14" s="49">
        <v>5</v>
      </c>
      <c r="T14" s="49">
        <v>10</v>
      </c>
      <c r="U14" s="49">
        <v>4</v>
      </c>
      <c r="V14" s="49">
        <v>8</v>
      </c>
      <c r="W14" s="49">
        <f t="shared" si="1"/>
        <v>53</v>
      </c>
      <c r="X14" s="125">
        <f t="shared" si="2"/>
        <v>104</v>
      </c>
      <c r="Y14" s="82">
        <f>X15</f>
        <v>32</v>
      </c>
      <c r="Z14" s="96">
        <f>X14-C14</f>
        <v>79</v>
      </c>
      <c r="AA14" s="97"/>
      <c r="AB14" s="97"/>
      <c r="AC14" s="97"/>
      <c r="AD14" s="97"/>
      <c r="AE14" s="98"/>
      <c r="AF14" s="116">
        <v>1</v>
      </c>
      <c r="AG14" s="15" t="s">
        <v>46</v>
      </c>
      <c r="AH14" s="16" t="s">
        <v>47</v>
      </c>
      <c r="AJ14" s="37"/>
      <c r="AK14" s="123"/>
    </row>
    <row r="15" spans="2:37" ht="15.6" thickTop="1" thickBot="1">
      <c r="B15" s="50" t="s">
        <v>91</v>
      </c>
      <c r="C15" s="56"/>
      <c r="D15" s="49">
        <f>MAX(0,2+D$7+(D$8&lt;=$C14)+(D$8&lt;=MAX($C14-18,0))+(D$8&lt;=MAX($C14-36,0))-D14)*NOT(ISBLANK($C14))</f>
        <v>3</v>
      </c>
      <c r="E15" s="49">
        <f t="shared" ref="E15:L15" si="7">MAX(0,2+E$7+(E$8&lt;=$C14)+(E$8&lt;=MAX($C14-18,0))+(E$8&lt;=MAX($C14-36,0))-E14)*NOT(ISBLANK($C14))</f>
        <v>0</v>
      </c>
      <c r="F15" s="49">
        <f t="shared" si="7"/>
        <v>0</v>
      </c>
      <c r="G15" s="49">
        <f t="shared" si="7"/>
        <v>2</v>
      </c>
      <c r="H15" s="49">
        <f t="shared" si="7"/>
        <v>4</v>
      </c>
      <c r="I15" s="49">
        <f t="shared" si="7"/>
        <v>1</v>
      </c>
      <c r="J15" s="49">
        <f t="shared" si="7"/>
        <v>3</v>
      </c>
      <c r="K15" s="49">
        <f t="shared" si="7"/>
        <v>0</v>
      </c>
      <c r="L15" s="49">
        <f t="shared" si="7"/>
        <v>3</v>
      </c>
      <c r="M15" s="49">
        <f t="shared" si="0"/>
        <v>16</v>
      </c>
      <c r="N15" s="49">
        <f t="shared" ref="N15:V15" si="8">MAX(0,2+N$7+(N$8&lt;=$C14)+(N$8&lt;=MAX($C14-18,0))+(N$8&lt;=MAX($C14-36,0))-N14)*NOT(ISBLANK($C14))</f>
        <v>3</v>
      </c>
      <c r="O15" s="49">
        <f t="shared" si="8"/>
        <v>3</v>
      </c>
      <c r="P15" s="49">
        <f t="shared" si="8"/>
        <v>1</v>
      </c>
      <c r="Q15" s="49">
        <f t="shared" si="8"/>
        <v>1</v>
      </c>
      <c r="R15" s="49">
        <f t="shared" si="8"/>
        <v>2</v>
      </c>
      <c r="S15" s="49">
        <f t="shared" si="8"/>
        <v>1</v>
      </c>
      <c r="T15" s="49">
        <f t="shared" si="8"/>
        <v>0</v>
      </c>
      <c r="U15" s="49">
        <f t="shared" si="8"/>
        <v>4</v>
      </c>
      <c r="V15" s="49">
        <f t="shared" si="8"/>
        <v>1</v>
      </c>
      <c r="W15" s="49">
        <f t="shared" si="1"/>
        <v>16</v>
      </c>
      <c r="X15" s="49">
        <f t="shared" si="2"/>
        <v>32</v>
      </c>
      <c r="Y15" s="82"/>
      <c r="Z15" s="93" cm="1">
        <f t="array" ref="Z15">_xlfn.IFS(
    AND(Z14 &gt;= 50, Z14 &lt;= 70), 70,
    AND(Z14 &gt;= 70, Z14 &lt;= 75), 50,
    AND(Z14 &gt;= 75, Z14 &lt;= 80), 40,
    AND(Z14 &gt;= 81, Z14 &lt;= 85), 35,
    AND(Z14 &gt;= 85, Z14 &lt;= 90), 30,
    AND(Z14 &gt;= 90, Z14 &lt;= 110), 25,
 AND(Z14 &gt;= 110),0
)</f>
        <v>40</v>
      </c>
      <c r="AA15" s="94">
        <f>SUMIF(D15:L15, "&gt;2")+SUMIF(N15:V15, "&gt;2")</f>
        <v>23</v>
      </c>
      <c r="AB15" s="128">
        <v>0</v>
      </c>
      <c r="AC15" s="128"/>
      <c r="AD15" s="128"/>
      <c r="AE15" s="95">
        <f>SUM(Z15:AD15)</f>
        <v>63</v>
      </c>
      <c r="AF15" s="116"/>
      <c r="AG15" s="9" t="s">
        <v>49</v>
      </c>
      <c r="AH15" s="10">
        <v>5</v>
      </c>
      <c r="AJ15" s="37"/>
      <c r="AK15" s="120"/>
    </row>
    <row r="16" spans="2:37" ht="15.6" thickTop="1" thickBot="1">
      <c r="B16" s="51" t="s">
        <v>11</v>
      </c>
      <c r="C16" s="57">
        <v>18</v>
      </c>
      <c r="D16" s="52">
        <v>3</v>
      </c>
      <c r="E16" s="52">
        <v>9</v>
      </c>
      <c r="F16" s="52">
        <v>6</v>
      </c>
      <c r="G16" s="52">
        <v>5</v>
      </c>
      <c r="H16" s="52">
        <v>4</v>
      </c>
      <c r="I16" s="52">
        <v>5</v>
      </c>
      <c r="J16" s="52">
        <v>4</v>
      </c>
      <c r="K16" s="52">
        <v>5</v>
      </c>
      <c r="L16" s="52">
        <v>5</v>
      </c>
      <c r="M16" s="52">
        <f t="shared" si="0"/>
        <v>46</v>
      </c>
      <c r="N16" s="52">
        <v>4</v>
      </c>
      <c r="O16" s="52">
        <v>7</v>
      </c>
      <c r="P16" s="52">
        <v>4</v>
      </c>
      <c r="Q16" s="52">
        <v>3</v>
      </c>
      <c r="R16" s="52">
        <v>5</v>
      </c>
      <c r="S16" s="52">
        <v>4</v>
      </c>
      <c r="T16" s="52">
        <v>8</v>
      </c>
      <c r="U16" s="52">
        <v>5</v>
      </c>
      <c r="V16" s="52">
        <v>6</v>
      </c>
      <c r="W16" s="52">
        <f t="shared" si="1"/>
        <v>46</v>
      </c>
      <c r="X16" s="124">
        <f t="shared" si="2"/>
        <v>92</v>
      </c>
      <c r="Y16" s="83">
        <f t="shared" ref="Y16" si="9">X17</f>
        <v>36</v>
      </c>
      <c r="Z16" s="90">
        <f>X16-C16</f>
        <v>74</v>
      </c>
      <c r="AA16" s="91"/>
      <c r="AB16" s="91"/>
      <c r="AC16" s="91"/>
      <c r="AD16" s="91"/>
      <c r="AE16" s="92"/>
      <c r="AF16" s="116">
        <v>4</v>
      </c>
      <c r="AG16" s="11" t="s">
        <v>51</v>
      </c>
      <c r="AH16" s="12">
        <v>5</v>
      </c>
    </row>
    <row r="17" spans="2:34" ht="15.6" thickTop="1" thickBot="1">
      <c r="B17" s="53" t="s">
        <v>91</v>
      </c>
      <c r="C17" s="57"/>
      <c r="D17" s="52">
        <f t="shared" ref="D17:L17" si="10">MAX(0,2+D$7+(D$8&lt;=$C16)+(D$8&lt;=MAX($C16-18,0))+(D$8&lt;=MAX($C16-36,0))-D16)*NOT(ISBLANK($C16))</f>
        <v>4</v>
      </c>
      <c r="E17" s="52">
        <f t="shared" si="10"/>
        <v>0</v>
      </c>
      <c r="F17" s="52">
        <f t="shared" si="10"/>
        <v>1</v>
      </c>
      <c r="G17" s="52">
        <f t="shared" si="10"/>
        <v>1</v>
      </c>
      <c r="H17" s="52">
        <f t="shared" si="10"/>
        <v>3</v>
      </c>
      <c r="I17" s="52">
        <f t="shared" si="10"/>
        <v>2</v>
      </c>
      <c r="J17" s="52">
        <f t="shared" si="10"/>
        <v>2</v>
      </c>
      <c r="K17" s="52">
        <f t="shared" si="10"/>
        <v>3</v>
      </c>
      <c r="L17" s="52">
        <f t="shared" si="10"/>
        <v>2</v>
      </c>
      <c r="M17" s="52">
        <f t="shared" si="0"/>
        <v>18</v>
      </c>
      <c r="N17" s="52">
        <f t="shared" ref="N17:V17" si="11">MAX(0,2+N$7+(N$8&lt;=$C16)+(N$8&lt;=MAX($C16-18,0))+(N$8&lt;=MAX($C16-36,0))-N16)*NOT(ISBLANK($C16))</f>
        <v>4</v>
      </c>
      <c r="O17" s="52">
        <f t="shared" si="11"/>
        <v>0</v>
      </c>
      <c r="P17" s="52">
        <f t="shared" si="11"/>
        <v>2</v>
      </c>
      <c r="Q17" s="52">
        <f t="shared" si="11"/>
        <v>4</v>
      </c>
      <c r="R17" s="52">
        <f t="shared" si="11"/>
        <v>2</v>
      </c>
      <c r="S17" s="52">
        <f t="shared" si="11"/>
        <v>2</v>
      </c>
      <c r="T17" s="52">
        <f t="shared" si="11"/>
        <v>0</v>
      </c>
      <c r="U17" s="52">
        <f t="shared" si="11"/>
        <v>2</v>
      </c>
      <c r="V17" s="52">
        <f t="shared" si="11"/>
        <v>2</v>
      </c>
      <c r="W17" s="52">
        <f t="shared" si="1"/>
        <v>18</v>
      </c>
      <c r="X17" s="52">
        <f t="shared" si="2"/>
        <v>36</v>
      </c>
      <c r="Y17" s="83"/>
      <c r="Z17" s="87" cm="1">
        <f t="array" ref="Z17">_xlfn.IFS(
    AND(Z16 &gt;= 50, Z16 &lt;= 70), 70,
    AND(Z16 &gt;= 70, Z16 &lt;= 75), 50,
    AND(Z16 &gt;= 75, Z16 &lt;= 80), 40,
    AND(Z16 &gt;= 81, Z16 &lt;= 85), 35,
    AND(Z16 &gt;= 85, Z16 &lt;= 90), 30,
    AND(Z16 &gt;= 90, Z16 &lt;= 110), 25,
 AND(Z16 &gt;= 110),0
)</f>
        <v>50</v>
      </c>
      <c r="AA17" s="88">
        <f>SUMIF(D17:L17, "&gt;2")+SUMIF(N17:V17, "&gt;2")</f>
        <v>18</v>
      </c>
      <c r="AB17" s="128">
        <v>10</v>
      </c>
      <c r="AC17" s="128"/>
      <c r="AD17" s="128">
        <v>0</v>
      </c>
      <c r="AE17" s="89">
        <f>SUM(Z17:AD17)</f>
        <v>78</v>
      </c>
      <c r="AF17" s="116"/>
      <c r="AG17" s="17" t="s">
        <v>4</v>
      </c>
      <c r="AH17" s="18">
        <v>10</v>
      </c>
    </row>
    <row r="18" spans="2:34" ht="15" thickTop="1"/>
    <row r="20" spans="2:34" ht="15" thickBot="1">
      <c r="C20" s="2"/>
      <c r="O20" s="8"/>
    </row>
    <row r="21" spans="2:34" ht="15.6" thickTop="1" thickBot="1">
      <c r="B21" s="78" t="s">
        <v>92</v>
      </c>
      <c r="C21" s="46">
        <v>73</v>
      </c>
      <c r="O21" s="8"/>
    </row>
    <row r="22" spans="2:34" ht="15.6" thickTop="1" thickBot="1">
      <c r="B22" s="78" t="s">
        <v>93</v>
      </c>
      <c r="C22" s="46">
        <v>135</v>
      </c>
      <c r="O22" s="8"/>
    </row>
    <row r="23" spans="2:34" ht="15.6" thickTop="1" thickBot="1">
      <c r="B23" s="78" t="s">
        <v>88</v>
      </c>
      <c r="C23" s="46">
        <v>72</v>
      </c>
      <c r="O23" s="8"/>
    </row>
    <row r="24" spans="2:34" ht="15" thickTop="1">
      <c r="O24" s="8"/>
    </row>
    <row r="25" spans="2:34">
      <c r="O25" s="8"/>
    </row>
    <row r="26" spans="2:34">
      <c r="O26" s="8"/>
    </row>
    <row r="27" spans="2:34">
      <c r="O27" s="8"/>
    </row>
    <row r="28" spans="2:34">
      <c r="O28" s="8"/>
    </row>
  </sheetData>
  <mergeCells count="2">
    <mergeCell ref="C4:AE4"/>
    <mergeCell ref="C5:AE5"/>
  </mergeCells>
  <conditionalFormatting sqref="D11:V11">
    <cfRule type="cellIs" dxfId="23" priority="2" operator="between">
      <formula>3</formula>
      <formula>5</formula>
    </cfRule>
  </conditionalFormatting>
  <conditionalFormatting sqref="D13:V13 D15:V15 D17:V17">
    <cfRule type="cellIs" dxfId="22" priority="1" operator="between">
      <formula>3</formula>
      <formula>5</formula>
    </cfRule>
  </conditionalFormatting>
  <pageMargins left="0.7" right="0.7" top="0.75" bottom="0.75" header="0.3" footer="0.3"/>
  <pageSetup paperSize="9" orientation="portrait" r:id="rId1"/>
  <headerFooter>
    <oddFooter>&amp;C_x000D_&amp;1#&amp;"Calibri"&amp;10&amp;K000000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3334-3BB6-4B4B-91F8-19B019AE23A7}">
  <dimension ref="B3:AK28"/>
  <sheetViews>
    <sheetView showGridLines="0" zoomScale="99" workbookViewId="0">
      <selection activeCell="AE13" sqref="AE13"/>
    </sheetView>
  </sheetViews>
  <sheetFormatPr defaultColWidth="8.85546875" defaultRowHeight="14.45"/>
  <cols>
    <col min="1" max="1" width="8.85546875" style="5"/>
    <col min="2" max="2" width="13.42578125" style="1" customWidth="1"/>
    <col min="3" max="3" width="7.140625" style="1" customWidth="1"/>
    <col min="4" max="5" width="5.42578125" style="4" customWidth="1"/>
    <col min="6" max="6" width="5.7109375" style="4" customWidth="1"/>
    <col min="7" max="7" width="5.85546875" style="4" customWidth="1"/>
    <col min="8" max="8" width="5.42578125" style="4" customWidth="1"/>
    <col min="9" max="9" width="6" style="4" customWidth="1"/>
    <col min="10" max="10" width="5.7109375" style="4" customWidth="1"/>
    <col min="11" max="11" width="6" style="4" customWidth="1"/>
    <col min="12" max="12" width="5.42578125" style="4" customWidth="1"/>
    <col min="13" max="13" width="6.85546875" style="3" customWidth="1"/>
    <col min="14" max="14" width="6" style="4" customWidth="1"/>
    <col min="15" max="15" width="5.85546875" style="4" customWidth="1"/>
    <col min="16" max="16" width="6.140625" style="4" customWidth="1"/>
    <col min="17" max="19" width="5.42578125" style="4" customWidth="1"/>
    <col min="20" max="20" width="5.28515625" style="4" customWidth="1"/>
    <col min="21" max="21" width="5.140625" style="4" customWidth="1"/>
    <col min="22" max="22" width="5.42578125" style="4" customWidth="1"/>
    <col min="23" max="23" width="7.28515625" style="3" customWidth="1"/>
    <col min="24" max="24" width="5.7109375" style="3" customWidth="1"/>
    <col min="25" max="25" width="6.5703125" style="3" customWidth="1"/>
    <col min="26" max="32" width="8.85546875" style="5"/>
    <col min="33" max="33" width="9.7109375" style="5" bestFit="1" customWidth="1"/>
    <col min="34" max="34" width="11.42578125" style="5" bestFit="1" customWidth="1"/>
    <col min="35" max="35" width="8.85546875" style="5"/>
    <col min="36" max="36" width="7.28515625" style="5" customWidth="1"/>
    <col min="37" max="37" width="13.85546875" style="5" bestFit="1" customWidth="1"/>
    <col min="38" max="16384" width="8.85546875" style="5"/>
  </cols>
  <sheetData>
    <row r="3" spans="2:37" ht="15" thickBot="1"/>
    <row r="4" spans="2:37" ht="15.6" thickTop="1" thickBot="1">
      <c r="C4" s="268" t="s">
        <v>94</v>
      </c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69"/>
    </row>
    <row r="5" spans="2:37" ht="15.6" thickTop="1" thickBot="1">
      <c r="C5" s="268" t="s">
        <v>95</v>
      </c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70"/>
      <c r="AA5" s="270"/>
      <c r="AB5" s="270"/>
      <c r="AC5" s="270"/>
      <c r="AD5" s="270"/>
      <c r="AE5" s="270"/>
    </row>
    <row r="6" spans="2:37" s="1" customFormat="1" ht="15.6" thickTop="1" thickBot="1">
      <c r="C6" s="38" t="s">
        <v>84</v>
      </c>
      <c r="D6" s="39">
        <v>1</v>
      </c>
      <c r="E6" s="39">
        <v>2</v>
      </c>
      <c r="F6" s="39">
        <v>3</v>
      </c>
      <c r="G6" s="39">
        <v>4</v>
      </c>
      <c r="H6" s="39">
        <v>5</v>
      </c>
      <c r="I6" s="39">
        <v>6</v>
      </c>
      <c r="J6" s="39">
        <v>7</v>
      </c>
      <c r="K6" s="39">
        <v>8</v>
      </c>
      <c r="L6" s="39">
        <v>9</v>
      </c>
      <c r="M6" s="254" t="s">
        <v>85</v>
      </c>
      <c r="N6" s="39">
        <v>10</v>
      </c>
      <c r="O6" s="39">
        <v>11</v>
      </c>
      <c r="P6" s="39">
        <v>12</v>
      </c>
      <c r="Q6" s="39">
        <v>13</v>
      </c>
      <c r="R6" s="39">
        <v>14</v>
      </c>
      <c r="S6" s="39">
        <v>15</v>
      </c>
      <c r="T6" s="39">
        <v>16</v>
      </c>
      <c r="U6" s="39">
        <v>17</v>
      </c>
      <c r="V6" s="39">
        <v>18</v>
      </c>
      <c r="W6" s="254" t="s">
        <v>86</v>
      </c>
      <c r="X6" s="39" t="s">
        <v>7</v>
      </c>
      <c r="Y6" s="78" t="s">
        <v>87</v>
      </c>
      <c r="Z6" s="84" t="s">
        <v>2</v>
      </c>
      <c r="AA6" s="85" t="s">
        <v>3</v>
      </c>
      <c r="AB6" s="85" t="s">
        <v>4</v>
      </c>
      <c r="AC6" s="85" t="s">
        <v>5</v>
      </c>
      <c r="AD6" s="85" t="s">
        <v>6</v>
      </c>
      <c r="AE6" s="86" t="s">
        <v>7</v>
      </c>
      <c r="AF6" s="86" t="s">
        <v>9</v>
      </c>
    </row>
    <row r="7" spans="2:37" s="1" customFormat="1" ht="15.6" thickTop="1" thickBot="1">
      <c r="C7" s="38" t="s">
        <v>88</v>
      </c>
      <c r="D7" s="39">
        <v>4</v>
      </c>
      <c r="E7" s="39">
        <v>4</v>
      </c>
      <c r="F7" s="39">
        <v>3</v>
      </c>
      <c r="G7" s="39">
        <v>4</v>
      </c>
      <c r="H7" s="39">
        <v>4</v>
      </c>
      <c r="I7" s="39">
        <v>4</v>
      </c>
      <c r="J7" s="39">
        <v>4</v>
      </c>
      <c r="K7" s="39">
        <v>5</v>
      </c>
      <c r="L7" s="39">
        <v>3</v>
      </c>
      <c r="M7" s="254">
        <f>SUM(D7:L7)</f>
        <v>35</v>
      </c>
      <c r="N7" s="39">
        <v>4</v>
      </c>
      <c r="O7" s="39">
        <v>5</v>
      </c>
      <c r="P7" s="39">
        <v>3</v>
      </c>
      <c r="Q7" s="39">
        <v>4</v>
      </c>
      <c r="R7" s="39">
        <v>4</v>
      </c>
      <c r="S7" s="39">
        <v>3</v>
      </c>
      <c r="T7" s="39">
        <v>4</v>
      </c>
      <c r="U7" s="39">
        <v>5</v>
      </c>
      <c r="V7" s="39">
        <v>4</v>
      </c>
      <c r="W7" s="254">
        <f>SUM(N7:V7)</f>
        <v>36</v>
      </c>
      <c r="X7" s="39">
        <f>M7+W7</f>
        <v>71</v>
      </c>
      <c r="Y7" s="78"/>
      <c r="Z7" s="111"/>
      <c r="AA7" s="112" t="s">
        <v>18</v>
      </c>
      <c r="AB7" s="112" t="s">
        <v>18</v>
      </c>
      <c r="AC7" s="112" t="s">
        <v>18</v>
      </c>
      <c r="AD7" s="112" t="s">
        <v>18</v>
      </c>
      <c r="AE7" s="113" t="s">
        <v>18</v>
      </c>
      <c r="AF7" s="86"/>
      <c r="AG7" s="6" t="s">
        <v>17</v>
      </c>
      <c r="AH7" s="7" t="s">
        <v>18</v>
      </c>
      <c r="AJ7" s="121"/>
      <c r="AK7" s="121"/>
    </row>
    <row r="8" spans="2:37" s="1" customFormat="1" ht="15.6" thickTop="1" thickBot="1">
      <c r="C8" s="38" t="s">
        <v>89</v>
      </c>
      <c r="D8" s="39">
        <v>8</v>
      </c>
      <c r="E8" s="39">
        <v>12</v>
      </c>
      <c r="F8" s="39">
        <v>17</v>
      </c>
      <c r="G8" s="39">
        <v>10</v>
      </c>
      <c r="H8" s="39">
        <v>1</v>
      </c>
      <c r="I8" s="39">
        <v>6</v>
      </c>
      <c r="J8" s="39">
        <v>4</v>
      </c>
      <c r="K8" s="39">
        <v>15</v>
      </c>
      <c r="L8" s="39">
        <v>14</v>
      </c>
      <c r="M8" s="254"/>
      <c r="N8" s="39">
        <v>11</v>
      </c>
      <c r="O8" s="39">
        <v>2</v>
      </c>
      <c r="P8" s="39">
        <v>9</v>
      </c>
      <c r="Q8" s="39">
        <v>3</v>
      </c>
      <c r="R8" s="39">
        <v>5</v>
      </c>
      <c r="S8" s="39">
        <v>13</v>
      </c>
      <c r="T8" s="39">
        <v>18</v>
      </c>
      <c r="U8" s="39">
        <v>16</v>
      </c>
      <c r="V8" s="39">
        <v>7</v>
      </c>
      <c r="W8" s="254"/>
      <c r="X8" s="39"/>
      <c r="Y8" s="78"/>
      <c r="Z8" s="114"/>
      <c r="AA8" s="115"/>
      <c r="AB8" s="115"/>
      <c r="AC8" s="115"/>
      <c r="AD8" s="115"/>
      <c r="AE8" s="116"/>
      <c r="AF8" s="116"/>
      <c r="AG8" s="9" t="s">
        <v>27</v>
      </c>
      <c r="AH8" s="10">
        <v>70</v>
      </c>
      <c r="AJ8" s="122"/>
      <c r="AK8" s="123"/>
    </row>
    <row r="9" spans="2:37" ht="15.6" thickTop="1" thickBot="1">
      <c r="C9" s="40" t="s">
        <v>90</v>
      </c>
      <c r="D9" s="41"/>
      <c r="E9" s="41"/>
      <c r="F9" s="41"/>
      <c r="G9" s="41"/>
      <c r="H9" s="41"/>
      <c r="I9" s="41"/>
      <c r="J9" s="41"/>
      <c r="K9" s="41"/>
      <c r="L9" s="41"/>
      <c r="M9" s="255"/>
      <c r="N9" s="41"/>
      <c r="O9" s="41"/>
      <c r="P9" s="41"/>
      <c r="Q9" s="41"/>
      <c r="R9" s="41"/>
      <c r="S9" s="41"/>
      <c r="T9" s="41"/>
      <c r="U9" s="41"/>
      <c r="V9" s="41"/>
      <c r="W9" s="255"/>
      <c r="X9" s="41"/>
      <c r="Y9" s="79"/>
      <c r="Z9" s="111"/>
      <c r="AA9" s="112"/>
      <c r="AB9" s="112"/>
      <c r="AC9" s="112"/>
      <c r="AD9" s="112"/>
      <c r="AE9" s="113"/>
      <c r="AF9" s="116"/>
      <c r="AG9" s="11" t="s">
        <v>32</v>
      </c>
      <c r="AH9" s="12">
        <v>50</v>
      </c>
      <c r="AJ9" s="122"/>
      <c r="AK9" s="117"/>
    </row>
    <row r="10" spans="2:37" ht="15.6" thickTop="1" thickBot="1">
      <c r="B10" s="42" t="s">
        <v>13</v>
      </c>
      <c r="C10" s="54">
        <v>12</v>
      </c>
      <c r="D10" s="43">
        <v>8</v>
      </c>
      <c r="E10" s="43">
        <v>5</v>
      </c>
      <c r="F10" s="43">
        <v>4</v>
      </c>
      <c r="G10" s="43">
        <v>6</v>
      </c>
      <c r="H10" s="43">
        <v>5</v>
      </c>
      <c r="I10" s="43">
        <v>5</v>
      </c>
      <c r="J10" s="43">
        <v>5</v>
      </c>
      <c r="K10" s="43">
        <v>5</v>
      </c>
      <c r="L10" s="43">
        <v>3</v>
      </c>
      <c r="M10" s="127">
        <f t="shared" ref="M10:M17" si="0">SUM(D10:L10)</f>
        <v>46</v>
      </c>
      <c r="N10" s="43">
        <v>6</v>
      </c>
      <c r="O10" s="43">
        <v>6</v>
      </c>
      <c r="P10" s="43">
        <v>4</v>
      </c>
      <c r="Q10" s="43">
        <v>6</v>
      </c>
      <c r="R10" s="43">
        <v>5</v>
      </c>
      <c r="S10" s="43">
        <v>4</v>
      </c>
      <c r="T10" s="43">
        <v>5</v>
      </c>
      <c r="U10" s="43">
        <v>6</v>
      </c>
      <c r="V10" s="43">
        <v>5</v>
      </c>
      <c r="W10" s="127">
        <f t="shared" ref="W10:W17" si="1">SUM(N10:V10)</f>
        <v>47</v>
      </c>
      <c r="X10" s="127">
        <f t="shared" ref="X10:X17" si="2">+M10+W10</f>
        <v>93</v>
      </c>
      <c r="Y10" s="80">
        <f>X11</f>
        <v>27</v>
      </c>
      <c r="Z10" s="108">
        <f>X10-C10</f>
        <v>81</v>
      </c>
      <c r="AA10" s="109"/>
      <c r="AB10" s="109"/>
      <c r="AC10" s="109"/>
      <c r="AD10" s="109"/>
      <c r="AE10" s="110"/>
      <c r="AF10" s="116">
        <v>4</v>
      </c>
      <c r="AG10" s="11" t="s">
        <v>37</v>
      </c>
      <c r="AH10" s="12">
        <v>40</v>
      </c>
      <c r="AJ10" s="35"/>
      <c r="AK10" s="123"/>
    </row>
    <row r="11" spans="2:37" ht="15.6" thickTop="1" thickBot="1">
      <c r="B11" s="44" t="s">
        <v>91</v>
      </c>
      <c r="C11" s="54"/>
      <c r="D11" s="43">
        <f>MAX(0,2+D$7+(D$8&lt;=$C10)+(D$8&lt;=MAX($C10-18,0))+(D$8&lt;=MAX($C10-36,0))-D10)*NOT(ISBLANK($C10))</f>
        <v>0</v>
      </c>
      <c r="E11" s="43">
        <f t="shared" ref="E11:L11" si="3">MAX(0,2+E$7+(E$8&lt;=$C10)+(E$8&lt;=MAX($C10-18,0))+(E$8&lt;=MAX($C10-36,0))-E10)*NOT(ISBLANK($C10))</f>
        <v>2</v>
      </c>
      <c r="F11" s="43">
        <f t="shared" si="3"/>
        <v>1</v>
      </c>
      <c r="G11" s="43">
        <f t="shared" si="3"/>
        <v>1</v>
      </c>
      <c r="H11" s="43">
        <f t="shared" si="3"/>
        <v>2</v>
      </c>
      <c r="I11" s="43">
        <f t="shared" si="3"/>
        <v>2</v>
      </c>
      <c r="J11" s="43">
        <f t="shared" si="3"/>
        <v>2</v>
      </c>
      <c r="K11" s="43">
        <f t="shared" si="3"/>
        <v>2</v>
      </c>
      <c r="L11" s="43">
        <f t="shared" si="3"/>
        <v>2</v>
      </c>
      <c r="M11" s="127">
        <f t="shared" si="0"/>
        <v>14</v>
      </c>
      <c r="N11" s="43">
        <f t="shared" ref="N11:V11" si="4">MAX(0,2+N$7+(N$8&lt;=$C10)+(N$8&lt;=MAX($C10-18,0))+(N$8&lt;=MAX($C10-36,0))-N10)*NOT(ISBLANK($C10))</f>
        <v>1</v>
      </c>
      <c r="O11" s="43">
        <f t="shared" si="4"/>
        <v>2</v>
      </c>
      <c r="P11" s="43">
        <f t="shared" si="4"/>
        <v>2</v>
      </c>
      <c r="Q11" s="43">
        <f t="shared" si="4"/>
        <v>1</v>
      </c>
      <c r="R11" s="43">
        <f t="shared" si="4"/>
        <v>2</v>
      </c>
      <c r="S11" s="43">
        <f t="shared" si="4"/>
        <v>1</v>
      </c>
      <c r="T11" s="43">
        <f t="shared" si="4"/>
        <v>1</v>
      </c>
      <c r="U11" s="43">
        <f t="shared" si="4"/>
        <v>1</v>
      </c>
      <c r="V11" s="43">
        <f t="shared" si="4"/>
        <v>2</v>
      </c>
      <c r="W11" s="127">
        <f t="shared" si="1"/>
        <v>13</v>
      </c>
      <c r="X11" s="43">
        <f t="shared" si="2"/>
        <v>27</v>
      </c>
      <c r="Y11" s="80"/>
      <c r="Z11" s="105" cm="1">
        <f t="array" ref="Z11">_xlfn.IFS(
    AND(Z10 &gt;= 50, Z10 &lt;= 70), 70,
    AND(Z10 &gt;= 70, Z10 &lt;= 75), 50,
    AND(Z10 &gt;= 75, Z10 &lt;= 80), 40,
    AND(Z10 &gt;= 81, Z10 &lt;= 85), 35,
    AND(Z10 &gt;= 85, Z10 &lt;= 90), 30,
    AND(Z10 &gt;= 90, Z10 &lt;= 110), 25,
 AND(Z10 &gt;= 110),0
)</f>
        <v>35</v>
      </c>
      <c r="AA11" s="106">
        <f>SUMIF(D11:L11, "&gt;2")+SUMIF(N11:V11, "&gt;2")</f>
        <v>0</v>
      </c>
      <c r="AB11" s="128">
        <v>10</v>
      </c>
      <c r="AC11" s="128">
        <v>0</v>
      </c>
      <c r="AD11" s="128">
        <v>0</v>
      </c>
      <c r="AE11" s="107">
        <f>SUM(Z11:AD11)</f>
        <v>45</v>
      </c>
      <c r="AF11" s="116"/>
      <c r="AG11" s="11" t="s">
        <v>40</v>
      </c>
      <c r="AH11" s="12">
        <v>35</v>
      </c>
      <c r="AJ11" s="35"/>
      <c r="AK11" s="118"/>
    </row>
    <row r="12" spans="2:37" ht="15.6" thickTop="1" thickBot="1">
      <c r="B12" s="45" t="s">
        <v>14</v>
      </c>
      <c r="C12" s="55">
        <v>16</v>
      </c>
      <c r="D12" s="234">
        <v>5</v>
      </c>
      <c r="E12" s="234">
        <v>5</v>
      </c>
      <c r="F12" s="234">
        <v>3</v>
      </c>
      <c r="G12" s="234">
        <v>5</v>
      </c>
      <c r="H12" s="234">
        <v>4</v>
      </c>
      <c r="I12" s="234">
        <v>5</v>
      </c>
      <c r="J12" s="234">
        <v>5</v>
      </c>
      <c r="K12" s="234">
        <v>6</v>
      </c>
      <c r="L12" s="234">
        <v>5</v>
      </c>
      <c r="M12" s="126">
        <f t="shared" si="0"/>
        <v>43</v>
      </c>
      <c r="N12" s="234">
        <v>4</v>
      </c>
      <c r="O12" s="234">
        <v>6</v>
      </c>
      <c r="P12" s="234">
        <v>4</v>
      </c>
      <c r="Q12" s="234">
        <v>7</v>
      </c>
      <c r="R12" s="234">
        <v>5</v>
      </c>
      <c r="S12" s="234">
        <v>4</v>
      </c>
      <c r="T12" s="234">
        <v>5</v>
      </c>
      <c r="U12" s="234">
        <v>6</v>
      </c>
      <c r="V12" s="234">
        <v>6</v>
      </c>
      <c r="W12" s="126">
        <f t="shared" si="1"/>
        <v>47</v>
      </c>
      <c r="X12" s="126">
        <f t="shared" si="2"/>
        <v>90</v>
      </c>
      <c r="Y12" s="81">
        <f>X13</f>
        <v>33</v>
      </c>
      <c r="Z12" s="102">
        <f>X12-C12</f>
        <v>74</v>
      </c>
      <c r="AA12" s="103"/>
      <c r="AB12" s="103"/>
      <c r="AC12" s="103"/>
      <c r="AD12" s="103"/>
      <c r="AE12" s="104"/>
      <c r="AF12" s="116">
        <v>2</v>
      </c>
      <c r="AG12" s="11" t="s">
        <v>42</v>
      </c>
      <c r="AH12" s="12">
        <v>30</v>
      </c>
      <c r="AJ12" s="36"/>
      <c r="AK12" s="123"/>
    </row>
    <row r="13" spans="2:37" ht="15.6" thickTop="1" thickBot="1">
      <c r="B13" s="47" t="s">
        <v>91</v>
      </c>
      <c r="C13" s="55"/>
      <c r="D13" s="46">
        <f>MAX(0,2+D$7+(D$8&lt;=$C12)+(D$8&lt;=MAX($C12-18,0))+(D$8&lt;=MAX($C12-36,0))-D12)*NOT(ISBLANK($C12))</f>
        <v>2</v>
      </c>
      <c r="E13" s="46">
        <f t="shared" ref="E13:L13" si="5">MAX(0,2+E$7+(E$8&lt;=$C12)+(E$8&lt;=MAX($C12-18,0))+(E$8&lt;=MAX($C12-36,0))-E12)*NOT(ISBLANK($C12))</f>
        <v>2</v>
      </c>
      <c r="F13" s="46">
        <f t="shared" si="5"/>
        <v>2</v>
      </c>
      <c r="G13" s="46">
        <f t="shared" si="5"/>
        <v>2</v>
      </c>
      <c r="H13" s="46">
        <f t="shared" si="5"/>
        <v>3</v>
      </c>
      <c r="I13" s="46">
        <f t="shared" si="5"/>
        <v>2</v>
      </c>
      <c r="J13" s="46">
        <f t="shared" si="5"/>
        <v>2</v>
      </c>
      <c r="K13" s="46">
        <f t="shared" si="5"/>
        <v>2</v>
      </c>
      <c r="L13" s="46">
        <f t="shared" si="5"/>
        <v>1</v>
      </c>
      <c r="M13" s="126">
        <f t="shared" si="0"/>
        <v>18</v>
      </c>
      <c r="N13" s="46">
        <f t="shared" ref="N13:V13" si="6">MAX(0,2+N$7+(N$8&lt;=$C12)+(N$8&lt;=MAX($C12-18,0))+(N$8&lt;=MAX($C12-36,0))-N12)*NOT(ISBLANK($C12))</f>
        <v>3</v>
      </c>
      <c r="O13" s="46">
        <f t="shared" si="6"/>
        <v>2</v>
      </c>
      <c r="P13" s="46">
        <f t="shared" si="6"/>
        <v>2</v>
      </c>
      <c r="Q13" s="46">
        <f t="shared" si="6"/>
        <v>0</v>
      </c>
      <c r="R13" s="46">
        <f t="shared" si="6"/>
        <v>2</v>
      </c>
      <c r="S13" s="46">
        <f t="shared" si="6"/>
        <v>2</v>
      </c>
      <c r="T13" s="46">
        <f t="shared" si="6"/>
        <v>1</v>
      </c>
      <c r="U13" s="46">
        <f t="shared" si="6"/>
        <v>2</v>
      </c>
      <c r="V13" s="46">
        <f t="shared" si="6"/>
        <v>1</v>
      </c>
      <c r="W13" s="126">
        <f t="shared" si="1"/>
        <v>15</v>
      </c>
      <c r="X13" s="46">
        <f t="shared" si="2"/>
        <v>33</v>
      </c>
      <c r="Y13" s="81"/>
      <c r="Z13" s="99" cm="1">
        <f t="array" ref="Z13">_xlfn.IFS(
    AND(Z12 &gt;= 50, Z12 &lt;= 70), 70,
    AND(Z12 &gt;= 70, Z12 &lt;= 75), 50,
    AND(Z12 &gt;= 75, Z12 &lt;= 80), 40,
    AND(Z12 &gt;= 81, Z12 &lt;= 85), 35,
    AND(Z12 &gt;= 85, Z12 &lt;= 90), 30,
    AND(Z12 &gt;= 90, Z12 &lt;= 110), 25,
 AND(Z12 &gt;= 110),0
)</f>
        <v>50</v>
      </c>
      <c r="AA13" s="100">
        <f>SUMIF(D13:L13, "&gt;2")+SUMIF(N13:V13, "&gt;2")</f>
        <v>6</v>
      </c>
      <c r="AB13" s="128">
        <v>10</v>
      </c>
      <c r="AC13" s="128">
        <v>5</v>
      </c>
      <c r="AD13" s="128">
        <v>5</v>
      </c>
      <c r="AE13" s="101">
        <f>SUM(Z13:AD13)</f>
        <v>76</v>
      </c>
      <c r="AF13" s="116"/>
      <c r="AG13" s="13" t="s">
        <v>44</v>
      </c>
      <c r="AH13" s="14">
        <v>25</v>
      </c>
      <c r="AJ13" s="36"/>
      <c r="AK13" s="119"/>
    </row>
    <row r="14" spans="2:37" ht="15.6" thickTop="1" thickBot="1">
      <c r="B14" s="48" t="s">
        <v>12</v>
      </c>
      <c r="C14" s="56">
        <v>21</v>
      </c>
      <c r="D14" s="235">
        <v>6</v>
      </c>
      <c r="E14" s="235">
        <v>6</v>
      </c>
      <c r="F14" s="235">
        <v>4</v>
      </c>
      <c r="G14" s="235">
        <v>8</v>
      </c>
      <c r="H14" s="235">
        <v>5</v>
      </c>
      <c r="I14" s="235">
        <v>5</v>
      </c>
      <c r="J14" s="235">
        <v>6</v>
      </c>
      <c r="K14" s="235">
        <v>8</v>
      </c>
      <c r="L14" s="235">
        <v>4</v>
      </c>
      <c r="M14" s="125">
        <f t="shared" si="0"/>
        <v>52</v>
      </c>
      <c r="N14" s="235">
        <v>4</v>
      </c>
      <c r="O14" s="235">
        <v>7</v>
      </c>
      <c r="P14" s="235">
        <v>3</v>
      </c>
      <c r="Q14" s="235">
        <v>6</v>
      </c>
      <c r="R14" s="235">
        <v>5</v>
      </c>
      <c r="S14" s="235">
        <v>3</v>
      </c>
      <c r="T14" s="235">
        <v>7</v>
      </c>
      <c r="U14" s="235">
        <v>5</v>
      </c>
      <c r="V14" s="235">
        <v>6</v>
      </c>
      <c r="W14" s="125">
        <f t="shared" si="1"/>
        <v>46</v>
      </c>
      <c r="X14" s="125">
        <f t="shared" si="2"/>
        <v>98</v>
      </c>
      <c r="Y14" s="82">
        <f>X15</f>
        <v>31</v>
      </c>
      <c r="Z14" s="96">
        <f>X14-C14</f>
        <v>77</v>
      </c>
      <c r="AA14" s="97"/>
      <c r="AB14" s="97"/>
      <c r="AC14" s="97"/>
      <c r="AD14" s="97"/>
      <c r="AE14" s="98"/>
      <c r="AF14" s="116">
        <v>0</v>
      </c>
      <c r="AG14" s="15" t="s">
        <v>46</v>
      </c>
      <c r="AH14" s="16" t="s">
        <v>47</v>
      </c>
      <c r="AJ14" s="37"/>
      <c r="AK14" s="123"/>
    </row>
    <row r="15" spans="2:37" ht="15.6" thickTop="1" thickBot="1">
      <c r="B15" s="50" t="s">
        <v>91</v>
      </c>
      <c r="C15" s="56"/>
      <c r="D15" s="49">
        <f>MAX(0,2+D$7+(D$8&lt;=$C14)+(D$8&lt;=MAX($C14-18,0))+(D$8&lt;=MAX($C14-36,0))-D14)*NOT(ISBLANK($C14))</f>
        <v>1</v>
      </c>
      <c r="E15" s="49">
        <f t="shared" ref="E15:L15" si="7">MAX(0,2+E$7+(E$8&lt;=$C14)+(E$8&lt;=MAX($C14-18,0))+(E$8&lt;=MAX($C14-36,0))-E14)*NOT(ISBLANK($C14))</f>
        <v>1</v>
      </c>
      <c r="F15" s="49">
        <f t="shared" si="7"/>
        <v>2</v>
      </c>
      <c r="G15" s="49">
        <f t="shared" si="7"/>
        <v>0</v>
      </c>
      <c r="H15" s="49">
        <f t="shared" si="7"/>
        <v>3</v>
      </c>
      <c r="I15" s="49">
        <f t="shared" si="7"/>
        <v>2</v>
      </c>
      <c r="J15" s="49">
        <f t="shared" si="7"/>
        <v>1</v>
      </c>
      <c r="K15" s="49">
        <f t="shared" si="7"/>
        <v>0</v>
      </c>
      <c r="L15" s="49">
        <f t="shared" si="7"/>
        <v>2</v>
      </c>
      <c r="M15" s="125">
        <f t="shared" si="0"/>
        <v>12</v>
      </c>
      <c r="N15" s="49">
        <f t="shared" ref="N15:V15" si="8">MAX(0,2+N$7+(N$8&lt;=$C14)+(N$8&lt;=MAX($C14-18,0))+(N$8&lt;=MAX($C14-36,0))-N14)*NOT(ISBLANK($C14))</f>
        <v>3</v>
      </c>
      <c r="O15" s="49">
        <f t="shared" si="8"/>
        <v>2</v>
      </c>
      <c r="P15" s="49">
        <f t="shared" si="8"/>
        <v>3</v>
      </c>
      <c r="Q15" s="49">
        <f t="shared" si="8"/>
        <v>2</v>
      </c>
      <c r="R15" s="49">
        <f t="shared" si="8"/>
        <v>2</v>
      </c>
      <c r="S15" s="49">
        <f t="shared" si="8"/>
        <v>3</v>
      </c>
      <c r="T15" s="49">
        <f t="shared" si="8"/>
        <v>0</v>
      </c>
      <c r="U15" s="49">
        <f t="shared" si="8"/>
        <v>3</v>
      </c>
      <c r="V15" s="49">
        <f t="shared" si="8"/>
        <v>1</v>
      </c>
      <c r="W15" s="125">
        <f t="shared" si="1"/>
        <v>19</v>
      </c>
      <c r="X15" s="49">
        <f t="shared" si="2"/>
        <v>31</v>
      </c>
      <c r="Y15" s="82"/>
      <c r="Z15" s="93" cm="1">
        <f t="array" ref="Z15">_xlfn.IFS(
    AND(Z14 &gt;= 50, Z14 &lt;= 70), 70,
    AND(Z14 &gt;= 70, Z14 &lt;= 75), 50,
    AND(Z14 &gt;= 75, Z14 &lt;= 80), 40,
    AND(Z14 &gt;= 81, Z14 &lt;= 85), 35,
    AND(Z14 &gt;= 85, Z14 &lt;= 90), 30,
    AND(Z14 &gt;= 90, Z14 &lt;= 110), 25,
 AND(Z14 &gt;= 110),0
)</f>
        <v>40</v>
      </c>
      <c r="AA15" s="94">
        <f>SUMIF(D15:L15, "&gt;2")+SUMIF(N15:V15, "&gt;2")</f>
        <v>15</v>
      </c>
      <c r="AB15" s="128">
        <v>0</v>
      </c>
      <c r="AC15" s="128">
        <v>0</v>
      </c>
      <c r="AD15" s="128">
        <v>0</v>
      </c>
      <c r="AE15" s="95">
        <f>SUM(Z15:AD15)</f>
        <v>55</v>
      </c>
      <c r="AF15" s="116"/>
      <c r="AG15" s="9" t="s">
        <v>49</v>
      </c>
      <c r="AH15" s="10">
        <v>5</v>
      </c>
      <c r="AJ15" s="37"/>
      <c r="AK15" s="120"/>
    </row>
    <row r="16" spans="2:37" ht="15.6" thickTop="1" thickBot="1">
      <c r="B16" s="51" t="s">
        <v>11</v>
      </c>
      <c r="C16" s="57">
        <v>14</v>
      </c>
      <c r="D16" s="236">
        <v>4</v>
      </c>
      <c r="E16" s="236">
        <v>4</v>
      </c>
      <c r="F16" s="236">
        <v>5</v>
      </c>
      <c r="G16" s="236">
        <v>6</v>
      </c>
      <c r="H16" s="236">
        <v>5</v>
      </c>
      <c r="I16" s="236">
        <v>5</v>
      </c>
      <c r="J16" s="236">
        <v>4</v>
      </c>
      <c r="K16" s="236">
        <v>7</v>
      </c>
      <c r="L16" s="236">
        <v>4</v>
      </c>
      <c r="M16" s="124">
        <f t="shared" si="0"/>
        <v>44</v>
      </c>
      <c r="N16" s="236">
        <v>4</v>
      </c>
      <c r="O16" s="236">
        <v>7</v>
      </c>
      <c r="P16" s="236">
        <v>4</v>
      </c>
      <c r="Q16" s="236">
        <v>4</v>
      </c>
      <c r="R16" s="236">
        <v>5</v>
      </c>
      <c r="S16" s="236">
        <v>5</v>
      </c>
      <c r="T16" s="236">
        <v>5</v>
      </c>
      <c r="U16" s="236">
        <v>6</v>
      </c>
      <c r="V16" s="236">
        <v>7</v>
      </c>
      <c r="W16" s="124">
        <f t="shared" si="1"/>
        <v>47</v>
      </c>
      <c r="X16" s="124">
        <f t="shared" si="2"/>
        <v>91</v>
      </c>
      <c r="Y16" s="83">
        <f t="shared" ref="Y16" si="9">X17</f>
        <v>30</v>
      </c>
      <c r="Z16" s="90">
        <f>X16-C16</f>
        <v>77</v>
      </c>
      <c r="AA16" s="91"/>
      <c r="AB16" s="91"/>
      <c r="AC16" s="91"/>
      <c r="AD16" s="91"/>
      <c r="AE16" s="92"/>
      <c r="AF16" s="116">
        <v>4</v>
      </c>
      <c r="AG16" s="11" t="s">
        <v>51</v>
      </c>
      <c r="AH16" s="12">
        <v>5</v>
      </c>
    </row>
    <row r="17" spans="2:34" ht="15.6" thickTop="1" thickBot="1">
      <c r="B17" s="53" t="s">
        <v>91</v>
      </c>
      <c r="C17" s="57"/>
      <c r="D17" s="52">
        <f t="shared" ref="D17:L17" si="10">MAX(0,2+D$7+(D$8&lt;=$C16)+(D$8&lt;=MAX($C16-18,0))+(D$8&lt;=MAX($C16-36,0))-D16)*NOT(ISBLANK($C16))</f>
        <v>3</v>
      </c>
      <c r="E17" s="52">
        <f t="shared" si="10"/>
        <v>3</v>
      </c>
      <c r="F17" s="52">
        <f t="shared" si="10"/>
        <v>0</v>
      </c>
      <c r="G17" s="52">
        <f t="shared" si="10"/>
        <v>1</v>
      </c>
      <c r="H17" s="52">
        <f t="shared" si="10"/>
        <v>2</v>
      </c>
      <c r="I17" s="52">
        <f t="shared" si="10"/>
        <v>2</v>
      </c>
      <c r="J17" s="52">
        <f t="shared" si="10"/>
        <v>3</v>
      </c>
      <c r="K17" s="52">
        <f t="shared" si="10"/>
        <v>0</v>
      </c>
      <c r="L17" s="52">
        <f t="shared" si="10"/>
        <v>2</v>
      </c>
      <c r="M17" s="124">
        <f t="shared" si="0"/>
        <v>16</v>
      </c>
      <c r="N17" s="52">
        <f t="shared" ref="N17:V17" si="11">MAX(0,2+N$7+(N$8&lt;=$C16)+(N$8&lt;=MAX($C16-18,0))+(N$8&lt;=MAX($C16-36,0))-N16)*NOT(ISBLANK($C16))</f>
        <v>3</v>
      </c>
      <c r="O17" s="52">
        <f t="shared" si="11"/>
        <v>1</v>
      </c>
      <c r="P17" s="52">
        <f t="shared" si="11"/>
        <v>2</v>
      </c>
      <c r="Q17" s="52">
        <f t="shared" si="11"/>
        <v>3</v>
      </c>
      <c r="R17" s="52">
        <f t="shared" si="11"/>
        <v>2</v>
      </c>
      <c r="S17" s="52">
        <f t="shared" si="11"/>
        <v>1</v>
      </c>
      <c r="T17" s="52">
        <f t="shared" si="11"/>
        <v>1</v>
      </c>
      <c r="U17" s="52">
        <f t="shared" si="11"/>
        <v>1</v>
      </c>
      <c r="V17" s="52">
        <f t="shared" si="11"/>
        <v>0</v>
      </c>
      <c r="W17" s="124">
        <f t="shared" si="1"/>
        <v>14</v>
      </c>
      <c r="X17" s="52">
        <f t="shared" si="2"/>
        <v>30</v>
      </c>
      <c r="Y17" s="83"/>
      <c r="Z17" s="87" cm="1">
        <f t="array" ref="Z17">_xlfn.IFS(
    AND(Z16 &gt;= 50, Z16 &lt;= 70), 70,
    AND(Z16 &gt;= 70, Z16 &lt;= 75), 50,
    AND(Z16 &gt;= 75, Z16 &lt;= 80), 40,
    AND(Z16 &gt;= 81, Z16 &lt;= 85), 35,
    AND(Z16 &gt;= 85, Z16 &lt;= 90), 30,
    AND(Z16 &gt;= 90, Z16 &lt;= 110), 25,
 AND(Z16 &gt;= 110),0
)</f>
        <v>40</v>
      </c>
      <c r="AA17" s="88">
        <f>SUMIF(D17:L17, "&gt;2")+SUMIF(N17:V17, "&gt;2")</f>
        <v>15</v>
      </c>
      <c r="AB17" s="128">
        <v>0</v>
      </c>
      <c r="AC17" s="128">
        <v>0</v>
      </c>
      <c r="AD17" s="128">
        <v>0</v>
      </c>
      <c r="AE17" s="89">
        <f>SUM(Z17:AD17)</f>
        <v>55</v>
      </c>
      <c r="AF17" s="116"/>
      <c r="AG17" s="17" t="s">
        <v>4</v>
      </c>
      <c r="AH17" s="18">
        <v>10</v>
      </c>
    </row>
    <row r="18" spans="2:34" ht="15" thickTop="1"/>
    <row r="20" spans="2:34" ht="15" thickBot="1">
      <c r="C20" s="2"/>
      <c r="O20" s="8"/>
    </row>
    <row r="21" spans="2:34" ht="15.6" thickTop="1" thickBot="1">
      <c r="B21" s="78" t="s">
        <v>92</v>
      </c>
      <c r="C21" s="46">
        <v>73</v>
      </c>
      <c r="O21" s="8"/>
    </row>
    <row r="22" spans="2:34" ht="15.6" thickTop="1" thickBot="1">
      <c r="B22" s="78" t="s">
        <v>93</v>
      </c>
      <c r="C22" s="46">
        <v>135</v>
      </c>
      <c r="O22" s="8"/>
    </row>
    <row r="23" spans="2:34" ht="15.6" thickTop="1" thickBot="1">
      <c r="B23" s="78" t="s">
        <v>88</v>
      </c>
      <c r="C23" s="46">
        <v>72</v>
      </c>
      <c r="O23" s="8"/>
    </row>
    <row r="24" spans="2:34" ht="15" thickTop="1">
      <c r="O24" s="8"/>
    </row>
    <row r="25" spans="2:34">
      <c r="O25" s="8"/>
    </row>
    <row r="26" spans="2:34">
      <c r="O26" s="8"/>
    </row>
    <row r="27" spans="2:34">
      <c r="O27" s="8"/>
    </row>
    <row r="28" spans="2:34">
      <c r="O28" s="8"/>
    </row>
  </sheetData>
  <mergeCells count="2">
    <mergeCell ref="C4:AE4"/>
    <mergeCell ref="C5:AE5"/>
  </mergeCells>
  <conditionalFormatting sqref="D11:V11">
    <cfRule type="cellIs" dxfId="21" priority="2" operator="between">
      <formula>3</formula>
      <formula>5</formula>
    </cfRule>
  </conditionalFormatting>
  <conditionalFormatting sqref="D13:V13 D15:V15 D17:V17">
    <cfRule type="cellIs" dxfId="20" priority="1" operator="between">
      <formula>3</formula>
      <formula>5</formula>
    </cfRule>
  </conditionalFormatting>
  <pageMargins left="0.7" right="0.7" top="0.75" bottom="0.75" header="0.3" footer="0.3"/>
  <headerFooter>
    <oddFooter>&amp;C_x000D_&amp;1#&amp;"Calibri"&amp;10&amp;K000000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CAB35-23A0-41AC-91D2-BC3B2E73DDCB}">
  <dimension ref="B3:AP45"/>
  <sheetViews>
    <sheetView showGridLines="0" zoomScale="99" workbookViewId="0">
      <selection activeCell="AG21" sqref="AG21"/>
    </sheetView>
  </sheetViews>
  <sheetFormatPr defaultColWidth="8.85546875" defaultRowHeight="14.45"/>
  <cols>
    <col min="1" max="1" width="8.85546875" style="5"/>
    <col min="2" max="2" width="13.42578125" style="1" customWidth="1"/>
    <col min="3" max="3" width="7.140625" style="1" customWidth="1"/>
    <col min="4" max="5" width="5.42578125" style="4" customWidth="1"/>
    <col min="6" max="6" width="5.7109375" style="4" customWidth="1"/>
    <col min="7" max="7" width="5.85546875" style="4" customWidth="1"/>
    <col min="8" max="8" width="5.42578125" style="4" customWidth="1"/>
    <col min="9" max="9" width="6" style="4" customWidth="1"/>
    <col min="10" max="10" width="5.7109375" style="4" customWidth="1"/>
    <col min="11" max="11" width="6" style="4" customWidth="1"/>
    <col min="12" max="12" width="5.42578125" style="4" customWidth="1"/>
    <col min="13" max="13" width="6.85546875" style="3" customWidth="1"/>
    <col min="14" max="14" width="6" style="4" customWidth="1"/>
    <col min="15" max="15" width="5.85546875" style="4" customWidth="1"/>
    <col min="16" max="16" width="6.140625" style="4" customWidth="1"/>
    <col min="17" max="19" width="5.42578125" style="4" customWidth="1"/>
    <col min="20" max="20" width="5.28515625" style="4" customWidth="1"/>
    <col min="21" max="21" width="5.140625" style="4" customWidth="1"/>
    <col min="22" max="22" width="5.42578125" style="4" customWidth="1"/>
    <col min="23" max="23" width="7.28515625" style="3" customWidth="1"/>
    <col min="24" max="24" width="5.7109375" style="3" customWidth="1"/>
    <col min="25" max="25" width="6.5703125" style="3" customWidth="1"/>
    <col min="26" max="32" width="8.85546875" style="5"/>
    <col min="33" max="33" width="9.7109375" style="5" bestFit="1" customWidth="1"/>
    <col min="34" max="34" width="11.42578125" style="5" bestFit="1" customWidth="1"/>
    <col min="35" max="35" width="8.85546875" style="5"/>
    <col min="36" max="36" width="7.28515625" style="5" customWidth="1"/>
    <col min="37" max="37" width="18" style="5" customWidth="1"/>
    <col min="38" max="38" width="12.85546875" style="5" customWidth="1"/>
    <col min="39" max="39" width="8.85546875" style="5"/>
    <col min="40" max="40" width="15.28515625" style="5" customWidth="1"/>
    <col min="41" max="41" width="17.42578125" style="5" customWidth="1"/>
    <col min="42" max="16384" width="8.85546875" style="5"/>
  </cols>
  <sheetData>
    <row r="3" spans="2:37" ht="15" thickBot="1"/>
    <row r="4" spans="2:37" ht="15.6" thickTop="1" thickBot="1">
      <c r="C4" s="268" t="s">
        <v>96</v>
      </c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69"/>
    </row>
    <row r="5" spans="2:37" ht="15.6" thickTop="1" thickBot="1">
      <c r="C5" s="268" t="s">
        <v>97</v>
      </c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70"/>
      <c r="AA5" s="270"/>
      <c r="AB5" s="270"/>
      <c r="AC5" s="270"/>
      <c r="AD5" s="270"/>
      <c r="AE5" s="270"/>
    </row>
    <row r="6" spans="2:37" s="1" customFormat="1" ht="15.6" thickTop="1" thickBot="1">
      <c r="C6" s="38" t="s">
        <v>84</v>
      </c>
      <c r="D6" s="39">
        <v>1</v>
      </c>
      <c r="E6" s="39">
        <v>2</v>
      </c>
      <c r="F6" s="39">
        <v>3</v>
      </c>
      <c r="G6" s="39">
        <v>4</v>
      </c>
      <c r="H6" s="39">
        <v>5</v>
      </c>
      <c r="I6" s="39">
        <v>6</v>
      </c>
      <c r="J6" s="39">
        <v>7</v>
      </c>
      <c r="K6" s="39">
        <v>8</v>
      </c>
      <c r="L6" s="39">
        <v>9</v>
      </c>
      <c r="M6" s="39" t="s">
        <v>85</v>
      </c>
      <c r="N6" s="39">
        <v>10</v>
      </c>
      <c r="O6" s="39">
        <v>11</v>
      </c>
      <c r="P6" s="39">
        <v>12</v>
      </c>
      <c r="Q6" s="39">
        <v>13</v>
      </c>
      <c r="R6" s="39">
        <v>14</v>
      </c>
      <c r="S6" s="39">
        <v>15</v>
      </c>
      <c r="T6" s="39">
        <v>16</v>
      </c>
      <c r="U6" s="39">
        <v>17</v>
      </c>
      <c r="V6" s="39">
        <v>18</v>
      </c>
      <c r="W6" s="39" t="s">
        <v>86</v>
      </c>
      <c r="X6" s="39" t="s">
        <v>7</v>
      </c>
      <c r="Y6" s="78" t="s">
        <v>87</v>
      </c>
      <c r="Z6" s="84" t="s">
        <v>2</v>
      </c>
      <c r="AA6" s="85" t="s">
        <v>3</v>
      </c>
      <c r="AB6" s="85" t="s">
        <v>4</v>
      </c>
      <c r="AC6" s="85" t="s">
        <v>5</v>
      </c>
      <c r="AD6" s="85" t="s">
        <v>6</v>
      </c>
      <c r="AE6" s="86" t="s">
        <v>7</v>
      </c>
      <c r="AF6" s="86" t="s">
        <v>9</v>
      </c>
    </row>
    <row r="7" spans="2:37" s="1" customFormat="1" ht="15.6" thickTop="1" thickBot="1">
      <c r="C7" s="38" t="s">
        <v>88</v>
      </c>
      <c r="D7" s="39">
        <v>5</v>
      </c>
      <c r="E7" s="39">
        <v>3</v>
      </c>
      <c r="F7" s="39">
        <v>4</v>
      </c>
      <c r="G7" s="39">
        <v>3</v>
      </c>
      <c r="H7" s="39">
        <v>5</v>
      </c>
      <c r="I7" s="39">
        <v>4</v>
      </c>
      <c r="J7" s="39">
        <v>4</v>
      </c>
      <c r="K7" s="39">
        <v>5</v>
      </c>
      <c r="L7" s="39">
        <v>4</v>
      </c>
      <c r="M7" s="39">
        <f>SUM(D7:L7)</f>
        <v>37</v>
      </c>
      <c r="N7" s="39">
        <v>4</v>
      </c>
      <c r="O7" s="39">
        <v>3</v>
      </c>
      <c r="P7" s="39">
        <v>4</v>
      </c>
      <c r="Q7" s="39">
        <v>5</v>
      </c>
      <c r="R7" s="39">
        <v>3</v>
      </c>
      <c r="S7" s="39">
        <v>4</v>
      </c>
      <c r="T7" s="39">
        <v>4</v>
      </c>
      <c r="U7" s="39">
        <v>3</v>
      </c>
      <c r="V7" s="39">
        <v>4</v>
      </c>
      <c r="W7" s="39">
        <f>SUM(N7:V7)</f>
        <v>34</v>
      </c>
      <c r="X7" s="39">
        <f>M7+W7</f>
        <v>71</v>
      </c>
      <c r="Y7" s="78"/>
      <c r="Z7" s="111"/>
      <c r="AA7" s="112" t="s">
        <v>18</v>
      </c>
      <c r="AB7" s="112" t="s">
        <v>18</v>
      </c>
      <c r="AC7" s="112" t="s">
        <v>18</v>
      </c>
      <c r="AD7" s="112" t="s">
        <v>18</v>
      </c>
      <c r="AE7" s="113" t="s">
        <v>18</v>
      </c>
      <c r="AF7" s="86"/>
      <c r="AG7" s="6" t="s">
        <v>17</v>
      </c>
      <c r="AH7" s="7" t="s">
        <v>18</v>
      </c>
      <c r="AJ7" s="121"/>
      <c r="AK7" s="121"/>
    </row>
    <row r="8" spans="2:37" s="1" customFormat="1" ht="15.6" thickTop="1" thickBot="1">
      <c r="C8" s="38" t="s">
        <v>89</v>
      </c>
      <c r="D8" s="39">
        <v>10</v>
      </c>
      <c r="E8" s="39">
        <v>8</v>
      </c>
      <c r="F8" s="39">
        <v>14</v>
      </c>
      <c r="G8" s="39">
        <v>4</v>
      </c>
      <c r="H8" s="39">
        <v>11</v>
      </c>
      <c r="I8" s="39">
        <v>15</v>
      </c>
      <c r="J8" s="39">
        <v>9</v>
      </c>
      <c r="K8" s="39">
        <v>17</v>
      </c>
      <c r="L8" s="39">
        <v>1</v>
      </c>
      <c r="M8" s="39"/>
      <c r="N8" s="39">
        <v>16</v>
      </c>
      <c r="O8" s="39">
        <v>12</v>
      </c>
      <c r="P8" s="39">
        <v>5</v>
      </c>
      <c r="Q8" s="39">
        <v>7</v>
      </c>
      <c r="R8" s="39">
        <v>18</v>
      </c>
      <c r="S8" s="39">
        <v>3</v>
      </c>
      <c r="T8" s="39">
        <v>2</v>
      </c>
      <c r="U8" s="39">
        <v>6</v>
      </c>
      <c r="V8" s="39">
        <v>13</v>
      </c>
      <c r="W8" s="39"/>
      <c r="X8" s="39"/>
      <c r="Y8" s="78"/>
      <c r="Z8" s="114"/>
      <c r="AA8" s="115"/>
      <c r="AB8" s="115"/>
      <c r="AC8" s="115"/>
      <c r="AD8" s="115"/>
      <c r="AE8" s="116"/>
      <c r="AF8" s="116"/>
      <c r="AG8" s="9" t="s">
        <v>27</v>
      </c>
      <c r="AH8" s="10">
        <v>70</v>
      </c>
      <c r="AJ8" s="122"/>
      <c r="AK8" s="123"/>
    </row>
    <row r="9" spans="2:37" ht="15.6" thickTop="1" thickBot="1">
      <c r="C9" s="40" t="s">
        <v>90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79"/>
      <c r="Z9" s="111"/>
      <c r="AA9" s="112"/>
      <c r="AB9" s="112"/>
      <c r="AC9" s="112"/>
      <c r="AD9" s="112"/>
      <c r="AE9" s="113"/>
      <c r="AF9" s="116"/>
      <c r="AG9" s="11" t="s">
        <v>32</v>
      </c>
      <c r="AH9" s="12">
        <v>50</v>
      </c>
      <c r="AJ9" s="122"/>
      <c r="AK9" s="117"/>
    </row>
    <row r="10" spans="2:37" ht="15.6" thickTop="1" thickBot="1">
      <c r="B10" s="42" t="s">
        <v>13</v>
      </c>
      <c r="C10" s="54">
        <v>14</v>
      </c>
      <c r="D10" s="43">
        <v>6</v>
      </c>
      <c r="E10" s="43">
        <v>5</v>
      </c>
      <c r="F10" s="43">
        <v>6</v>
      </c>
      <c r="G10" s="43">
        <v>3</v>
      </c>
      <c r="H10" s="43">
        <v>6</v>
      </c>
      <c r="I10" s="43">
        <v>4</v>
      </c>
      <c r="J10" s="43">
        <v>5</v>
      </c>
      <c r="K10" s="43">
        <v>8</v>
      </c>
      <c r="L10" s="43">
        <v>5</v>
      </c>
      <c r="M10" s="43">
        <f t="shared" ref="M10:M17" si="0">SUM(D10:L10)</f>
        <v>48</v>
      </c>
      <c r="N10" s="43">
        <v>6</v>
      </c>
      <c r="O10" s="43">
        <v>7</v>
      </c>
      <c r="P10" s="43">
        <v>4</v>
      </c>
      <c r="Q10" s="43">
        <v>7</v>
      </c>
      <c r="R10" s="43">
        <v>4</v>
      </c>
      <c r="S10" s="43">
        <v>6</v>
      </c>
      <c r="T10" s="43">
        <v>5</v>
      </c>
      <c r="U10" s="43">
        <v>4</v>
      </c>
      <c r="V10" s="43">
        <v>5</v>
      </c>
      <c r="W10" s="43">
        <f t="shared" ref="W10:W17" si="1">SUM(N10:V10)</f>
        <v>48</v>
      </c>
      <c r="X10" s="127">
        <f t="shared" ref="X10:X17" si="2">+M10+W10</f>
        <v>96</v>
      </c>
      <c r="Y10" s="80">
        <f>X11</f>
        <v>27</v>
      </c>
      <c r="Z10" s="108">
        <f>X10-C10</f>
        <v>82</v>
      </c>
      <c r="AA10" s="109"/>
      <c r="AB10" s="109"/>
      <c r="AC10" s="109"/>
      <c r="AD10" s="109"/>
      <c r="AE10" s="110"/>
      <c r="AF10" s="116">
        <v>1</v>
      </c>
      <c r="AG10" s="11" t="s">
        <v>37</v>
      </c>
      <c r="AH10" s="12">
        <v>40</v>
      </c>
      <c r="AJ10" s="35"/>
      <c r="AK10" s="123"/>
    </row>
    <row r="11" spans="2:37" ht="15.6" thickTop="1" thickBot="1">
      <c r="B11" s="44" t="s">
        <v>91</v>
      </c>
      <c r="C11" s="54"/>
      <c r="D11" s="43">
        <f>MAX(0,2+D$7+(D$8&lt;=$C10)+(D$8&lt;=MAX($C10-18,0))+(D$8&lt;=MAX($C10-36,0))-D10)*NOT(ISBLANK($C10))</f>
        <v>2</v>
      </c>
      <c r="E11" s="43">
        <f t="shared" ref="E11:L11" si="3">MAX(0,2+E$7+(E$8&lt;=$C10)+(E$8&lt;=MAX($C10-18,0))+(E$8&lt;=MAX($C10-36,0))-E10)*NOT(ISBLANK($C10))</f>
        <v>1</v>
      </c>
      <c r="F11" s="43">
        <f t="shared" si="3"/>
        <v>1</v>
      </c>
      <c r="G11" s="43">
        <f t="shared" si="3"/>
        <v>3</v>
      </c>
      <c r="H11" s="43">
        <f t="shared" si="3"/>
        <v>2</v>
      </c>
      <c r="I11" s="43">
        <f t="shared" si="3"/>
        <v>2</v>
      </c>
      <c r="J11" s="43">
        <f t="shared" si="3"/>
        <v>2</v>
      </c>
      <c r="K11" s="43">
        <f t="shared" si="3"/>
        <v>0</v>
      </c>
      <c r="L11" s="43">
        <f t="shared" si="3"/>
        <v>2</v>
      </c>
      <c r="M11" s="43">
        <f t="shared" si="0"/>
        <v>15</v>
      </c>
      <c r="N11" s="43">
        <f t="shared" ref="N11:V11" si="4">MAX(0,2+N$7+(N$8&lt;=$C10)+(N$8&lt;=MAX($C10-18,0))+(N$8&lt;=MAX($C10-36,0))-N10)*NOT(ISBLANK($C10))</f>
        <v>0</v>
      </c>
      <c r="O11" s="43">
        <f t="shared" si="4"/>
        <v>0</v>
      </c>
      <c r="P11" s="43">
        <f t="shared" si="4"/>
        <v>3</v>
      </c>
      <c r="Q11" s="43">
        <f t="shared" si="4"/>
        <v>1</v>
      </c>
      <c r="R11" s="43">
        <f t="shared" si="4"/>
        <v>1</v>
      </c>
      <c r="S11" s="43">
        <f t="shared" si="4"/>
        <v>1</v>
      </c>
      <c r="T11" s="43">
        <f t="shared" si="4"/>
        <v>2</v>
      </c>
      <c r="U11" s="43">
        <f t="shared" si="4"/>
        <v>2</v>
      </c>
      <c r="V11" s="43">
        <f t="shared" si="4"/>
        <v>2</v>
      </c>
      <c r="W11" s="43">
        <f t="shared" si="1"/>
        <v>12</v>
      </c>
      <c r="X11" s="43">
        <f t="shared" si="2"/>
        <v>27</v>
      </c>
      <c r="Y11" s="80"/>
      <c r="Z11" s="105" cm="1">
        <f t="array" ref="Z11">_xlfn.IFS(
    AND(Z10 &gt;= 50, Z10 &lt;= 70), 70,
    AND(Z10 &gt;= 70, Z10 &lt;= 75), 50,
    AND(Z10 &gt;= 75, Z10 &lt;= 80), 40,
    AND(Z10 &gt;= 81, Z10 &lt;= 85), 35,
    AND(Z10 &gt;= 85, Z10 &lt;= 90), 30,
    AND(Z10 &gt;= 90, Z10 &lt;= 110), 25,
 AND(Z10 &gt;= 110),0
)</f>
        <v>35</v>
      </c>
      <c r="AA11" s="106">
        <f>SUMIF(D11:L11, "&gt;2")+SUMIF(N11:V11, "&gt;2")</f>
        <v>6</v>
      </c>
      <c r="AB11" s="128">
        <v>10</v>
      </c>
      <c r="AC11" s="128">
        <v>0</v>
      </c>
      <c r="AD11" s="128">
        <v>0</v>
      </c>
      <c r="AE11" s="107">
        <f>SUM(Z11:AD11)</f>
        <v>51</v>
      </c>
      <c r="AF11" s="116"/>
      <c r="AG11" s="11" t="s">
        <v>40</v>
      </c>
      <c r="AH11" s="12">
        <v>35</v>
      </c>
      <c r="AJ11" s="35"/>
      <c r="AK11" s="118"/>
    </row>
    <row r="12" spans="2:37" ht="15.6" thickTop="1" thickBot="1">
      <c r="B12" s="45" t="s">
        <v>14</v>
      </c>
      <c r="C12" s="55">
        <v>18</v>
      </c>
      <c r="D12" s="234">
        <v>7</v>
      </c>
      <c r="E12" s="234">
        <v>4</v>
      </c>
      <c r="F12" s="234">
        <v>5</v>
      </c>
      <c r="G12" s="234">
        <v>4</v>
      </c>
      <c r="H12" s="234">
        <v>7</v>
      </c>
      <c r="I12" s="234">
        <v>6</v>
      </c>
      <c r="J12" s="234">
        <v>5</v>
      </c>
      <c r="K12" s="234">
        <v>5</v>
      </c>
      <c r="L12" s="234">
        <v>6</v>
      </c>
      <c r="M12" s="46">
        <f t="shared" si="0"/>
        <v>49</v>
      </c>
      <c r="N12" s="234">
        <v>5</v>
      </c>
      <c r="O12" s="234">
        <v>3</v>
      </c>
      <c r="P12" s="234">
        <v>5</v>
      </c>
      <c r="Q12" s="234">
        <v>5</v>
      </c>
      <c r="R12" s="234">
        <v>3</v>
      </c>
      <c r="S12" s="234">
        <v>7</v>
      </c>
      <c r="T12" s="234">
        <v>6</v>
      </c>
      <c r="U12" s="234">
        <v>4</v>
      </c>
      <c r="V12" s="234">
        <v>5</v>
      </c>
      <c r="W12" s="46">
        <f t="shared" si="1"/>
        <v>43</v>
      </c>
      <c r="X12" s="126">
        <f t="shared" si="2"/>
        <v>92</v>
      </c>
      <c r="Y12" s="81">
        <f>X13</f>
        <v>33</v>
      </c>
      <c r="Z12" s="102">
        <f>X12-C12</f>
        <v>74</v>
      </c>
      <c r="AA12" s="103"/>
      <c r="AB12" s="103"/>
      <c r="AC12" s="103"/>
      <c r="AD12" s="103"/>
      <c r="AE12" s="104"/>
      <c r="AF12" s="116">
        <v>2</v>
      </c>
      <c r="AG12" s="11" t="s">
        <v>42</v>
      </c>
      <c r="AH12" s="12">
        <v>30</v>
      </c>
      <c r="AJ12" s="36"/>
      <c r="AK12" s="123"/>
    </row>
    <row r="13" spans="2:37" ht="15.6" thickTop="1" thickBot="1">
      <c r="B13" s="47" t="s">
        <v>91</v>
      </c>
      <c r="C13" s="55"/>
      <c r="D13" s="46">
        <f>MAX(0,2+D$7+(D$8&lt;=$C12)+(D$8&lt;=MAX($C12-18,0))+(D$8&lt;=MAX($C12-36,0))-D12)*NOT(ISBLANK($C12))</f>
        <v>1</v>
      </c>
      <c r="E13" s="46">
        <f t="shared" ref="E13:L13" si="5">MAX(0,2+E$7+(E$8&lt;=$C12)+(E$8&lt;=MAX($C12-18,0))+(E$8&lt;=MAX($C12-36,0))-E12)*NOT(ISBLANK($C12))</f>
        <v>2</v>
      </c>
      <c r="F13" s="46">
        <f t="shared" si="5"/>
        <v>2</v>
      </c>
      <c r="G13" s="46">
        <f t="shared" si="5"/>
        <v>2</v>
      </c>
      <c r="H13" s="46">
        <f t="shared" si="5"/>
        <v>1</v>
      </c>
      <c r="I13" s="46">
        <f t="shared" si="5"/>
        <v>1</v>
      </c>
      <c r="J13" s="46">
        <f t="shared" si="5"/>
        <v>2</v>
      </c>
      <c r="K13" s="46">
        <f t="shared" si="5"/>
        <v>3</v>
      </c>
      <c r="L13" s="46">
        <f t="shared" si="5"/>
        <v>1</v>
      </c>
      <c r="M13" s="46">
        <f t="shared" si="0"/>
        <v>15</v>
      </c>
      <c r="N13" s="46">
        <f t="shared" ref="N13:V13" si="6">MAX(0,2+N$7+(N$8&lt;=$C12)+(N$8&lt;=MAX($C12-18,0))+(N$8&lt;=MAX($C12-36,0))-N12)*NOT(ISBLANK($C12))</f>
        <v>2</v>
      </c>
      <c r="O13" s="46">
        <f t="shared" si="6"/>
        <v>3</v>
      </c>
      <c r="P13" s="46">
        <f t="shared" si="6"/>
        <v>2</v>
      </c>
      <c r="Q13" s="46">
        <f t="shared" si="6"/>
        <v>3</v>
      </c>
      <c r="R13" s="46">
        <f t="shared" si="6"/>
        <v>3</v>
      </c>
      <c r="S13" s="46">
        <f t="shared" si="6"/>
        <v>0</v>
      </c>
      <c r="T13" s="46">
        <f t="shared" si="6"/>
        <v>1</v>
      </c>
      <c r="U13" s="46">
        <f t="shared" si="6"/>
        <v>2</v>
      </c>
      <c r="V13" s="46">
        <f t="shared" si="6"/>
        <v>2</v>
      </c>
      <c r="W13" s="46">
        <f t="shared" si="1"/>
        <v>18</v>
      </c>
      <c r="X13" s="46">
        <f t="shared" si="2"/>
        <v>33</v>
      </c>
      <c r="Y13" s="81"/>
      <c r="Z13" s="99" cm="1">
        <f t="array" ref="Z13">_xlfn.IFS(
    AND(Z12 &gt;= 50, Z12 &lt;= 70), 70,
    AND(Z12 &gt;= 70, Z12 &lt;= 75), 50,
    AND(Z12 &gt;= 75, Z12 &lt;= 80), 40,
    AND(Z12 &gt;= 81, Z12 &lt;= 85), 35,
    AND(Z12 &gt;= 85, Z12 &lt;= 90), 30,
    AND(Z12 &gt;= 90, Z12 &lt;= 110), 25,
 AND(Z12 &gt;= 110),0
)</f>
        <v>50</v>
      </c>
      <c r="AA13" s="100">
        <f>SUMIF(D13:L13, "&gt;2")+SUMIF(N13:V13, "&gt;2")</f>
        <v>12</v>
      </c>
      <c r="AB13" s="128">
        <v>10</v>
      </c>
      <c r="AC13" s="128">
        <v>0</v>
      </c>
      <c r="AD13" s="128">
        <v>5</v>
      </c>
      <c r="AE13" s="101">
        <f>SUM(Z13:AD13)</f>
        <v>77</v>
      </c>
      <c r="AF13" s="116"/>
      <c r="AG13" s="13" t="s">
        <v>44</v>
      </c>
      <c r="AH13" s="14">
        <v>25</v>
      </c>
      <c r="AJ13" s="36"/>
      <c r="AK13" s="119"/>
    </row>
    <row r="14" spans="2:37" ht="15.6" thickTop="1" thickBot="1">
      <c r="B14" s="48" t="s">
        <v>12</v>
      </c>
      <c r="C14" s="56">
        <v>23</v>
      </c>
      <c r="D14" s="235">
        <v>7</v>
      </c>
      <c r="E14" s="235">
        <v>5</v>
      </c>
      <c r="F14" s="235">
        <v>5</v>
      </c>
      <c r="G14" s="235">
        <v>5</v>
      </c>
      <c r="H14" s="235">
        <v>8</v>
      </c>
      <c r="I14" s="235">
        <v>6</v>
      </c>
      <c r="J14" s="235">
        <v>6</v>
      </c>
      <c r="K14" s="235">
        <v>6</v>
      </c>
      <c r="L14" s="235">
        <v>7</v>
      </c>
      <c r="M14" s="49">
        <f t="shared" si="0"/>
        <v>55</v>
      </c>
      <c r="N14" s="235">
        <v>6</v>
      </c>
      <c r="O14" s="235">
        <v>5</v>
      </c>
      <c r="P14" s="235">
        <v>6</v>
      </c>
      <c r="Q14" s="235">
        <v>10</v>
      </c>
      <c r="R14" s="235">
        <v>3</v>
      </c>
      <c r="S14" s="235">
        <v>7</v>
      </c>
      <c r="T14" s="235">
        <v>8</v>
      </c>
      <c r="U14" s="235">
        <v>3</v>
      </c>
      <c r="V14" s="235">
        <v>7</v>
      </c>
      <c r="W14" s="49">
        <f t="shared" si="1"/>
        <v>55</v>
      </c>
      <c r="X14" s="125">
        <f t="shared" si="2"/>
        <v>110</v>
      </c>
      <c r="Y14" s="82">
        <f>X15</f>
        <v>22</v>
      </c>
      <c r="Z14" s="96">
        <f>X14-C14</f>
        <v>87</v>
      </c>
      <c r="AA14" s="97"/>
      <c r="AB14" s="97"/>
      <c r="AC14" s="97"/>
      <c r="AD14" s="97"/>
      <c r="AE14" s="98"/>
      <c r="AF14" s="116">
        <v>4</v>
      </c>
      <c r="AG14" s="15" t="s">
        <v>46</v>
      </c>
      <c r="AH14" s="16" t="s">
        <v>47</v>
      </c>
      <c r="AJ14" s="37"/>
      <c r="AK14" s="123"/>
    </row>
    <row r="15" spans="2:37" ht="15.6" thickTop="1" thickBot="1">
      <c r="B15" s="50" t="s">
        <v>91</v>
      </c>
      <c r="C15" s="56"/>
      <c r="D15" s="49">
        <f>MAX(0,2+D$7+(D$8&lt;=$C14)+(D$8&lt;=MAX($C14-18,0))+(D$8&lt;=MAX($C14-36,0))-D14)*NOT(ISBLANK($C14))</f>
        <v>1</v>
      </c>
      <c r="E15" s="49">
        <f t="shared" ref="E15:L15" si="7">MAX(0,2+E$7+(E$8&lt;=$C14)+(E$8&lt;=MAX($C14-18,0))+(E$8&lt;=MAX($C14-36,0))-E14)*NOT(ISBLANK($C14))</f>
        <v>1</v>
      </c>
      <c r="F15" s="49">
        <f t="shared" si="7"/>
        <v>2</v>
      </c>
      <c r="G15" s="49">
        <f t="shared" si="7"/>
        <v>2</v>
      </c>
      <c r="H15" s="49">
        <f t="shared" si="7"/>
        <v>0</v>
      </c>
      <c r="I15" s="49">
        <f t="shared" si="7"/>
        <v>1</v>
      </c>
      <c r="J15" s="49">
        <f t="shared" si="7"/>
        <v>1</v>
      </c>
      <c r="K15" s="49">
        <f t="shared" si="7"/>
        <v>2</v>
      </c>
      <c r="L15" s="49">
        <f t="shared" si="7"/>
        <v>1</v>
      </c>
      <c r="M15" s="49">
        <f t="shared" si="0"/>
        <v>11</v>
      </c>
      <c r="N15" s="49">
        <f t="shared" ref="N15:V15" si="8">MAX(0,2+N$7+(N$8&lt;=$C14)+(N$8&lt;=MAX($C14-18,0))+(N$8&lt;=MAX($C14-36,0))-N14)*NOT(ISBLANK($C14))</f>
        <v>1</v>
      </c>
      <c r="O15" s="49">
        <f t="shared" si="8"/>
        <v>1</v>
      </c>
      <c r="P15" s="49">
        <f t="shared" si="8"/>
        <v>2</v>
      </c>
      <c r="Q15" s="49">
        <f t="shared" si="8"/>
        <v>0</v>
      </c>
      <c r="R15" s="49">
        <f t="shared" si="8"/>
        <v>3</v>
      </c>
      <c r="S15" s="49">
        <f t="shared" si="8"/>
        <v>1</v>
      </c>
      <c r="T15" s="49">
        <f t="shared" si="8"/>
        <v>0</v>
      </c>
      <c r="U15" s="49">
        <f t="shared" si="8"/>
        <v>3</v>
      </c>
      <c r="V15" s="49">
        <f t="shared" si="8"/>
        <v>0</v>
      </c>
      <c r="W15" s="49">
        <f t="shared" si="1"/>
        <v>11</v>
      </c>
      <c r="X15" s="49">
        <f t="shared" si="2"/>
        <v>22</v>
      </c>
      <c r="Y15" s="82"/>
      <c r="Z15" s="93" cm="1">
        <f t="array" ref="Z15">_xlfn.IFS(
    AND(Z14 &gt;= 50, Z14 &lt;= 70), 70,
    AND(Z14 &gt;= 70, Z14 &lt;= 75), 50,
    AND(Z14 &gt;= 75, Z14 &lt;= 80), 40,
    AND(Z14 &gt;= 81, Z14 &lt;= 85), 35,
    AND(Z14 &gt;= 85, Z14 &lt;= 90), 30,
    AND(Z14 &gt;= 90, Z14 &lt;= 110), 25,
 AND(Z14 &gt;= 110),0
)</f>
        <v>30</v>
      </c>
      <c r="AA15" s="94">
        <f>SUMIF(D15:L15, "&gt;2")+SUMIF(N15:V15, "&gt;2")</f>
        <v>6</v>
      </c>
      <c r="AB15" s="128">
        <v>0</v>
      </c>
      <c r="AC15" s="128">
        <v>0</v>
      </c>
      <c r="AD15" s="128">
        <v>0</v>
      </c>
      <c r="AE15" s="95">
        <f>SUM(Z15:AD15)</f>
        <v>36</v>
      </c>
      <c r="AF15" s="116"/>
      <c r="AG15" s="9" t="s">
        <v>49</v>
      </c>
      <c r="AH15" s="10">
        <v>5</v>
      </c>
      <c r="AJ15" s="37"/>
      <c r="AK15" s="120"/>
    </row>
    <row r="16" spans="2:37" ht="15.6" thickTop="1" thickBot="1">
      <c r="B16" s="51" t="s">
        <v>11</v>
      </c>
      <c r="C16" s="57">
        <v>16</v>
      </c>
      <c r="D16" s="236">
        <v>8</v>
      </c>
      <c r="E16" s="236">
        <v>4</v>
      </c>
      <c r="F16" s="236">
        <v>6</v>
      </c>
      <c r="G16" s="236">
        <v>4</v>
      </c>
      <c r="H16" s="236">
        <v>7</v>
      </c>
      <c r="I16" s="236">
        <v>5</v>
      </c>
      <c r="J16" s="236">
        <v>7</v>
      </c>
      <c r="K16" s="236">
        <v>7</v>
      </c>
      <c r="L16" s="236">
        <v>7</v>
      </c>
      <c r="M16" s="52">
        <f t="shared" si="0"/>
        <v>55</v>
      </c>
      <c r="N16" s="236">
        <v>6</v>
      </c>
      <c r="O16" s="236">
        <v>4</v>
      </c>
      <c r="P16" s="236">
        <v>7</v>
      </c>
      <c r="Q16" s="236">
        <v>6</v>
      </c>
      <c r="R16" s="236">
        <v>3</v>
      </c>
      <c r="S16" s="236">
        <v>5</v>
      </c>
      <c r="T16" s="236">
        <v>6</v>
      </c>
      <c r="U16" s="236">
        <v>5</v>
      </c>
      <c r="V16" s="236">
        <v>6</v>
      </c>
      <c r="W16" s="52">
        <f t="shared" si="1"/>
        <v>48</v>
      </c>
      <c r="X16" s="124">
        <f t="shared" si="2"/>
        <v>103</v>
      </c>
      <c r="Y16" s="83">
        <f t="shared" ref="Y16" si="9">X17</f>
        <v>20</v>
      </c>
      <c r="Z16" s="90">
        <f>X16-C16</f>
        <v>87</v>
      </c>
      <c r="AA16" s="91"/>
      <c r="AB16" s="91"/>
      <c r="AC16" s="91"/>
      <c r="AD16" s="91"/>
      <c r="AE16" s="92"/>
      <c r="AF16" s="116">
        <v>4</v>
      </c>
      <c r="AG16" s="11" t="s">
        <v>51</v>
      </c>
      <c r="AH16" s="12">
        <v>5</v>
      </c>
    </row>
    <row r="17" spans="2:42" ht="15.6" thickTop="1" thickBot="1">
      <c r="B17" s="53" t="s">
        <v>91</v>
      </c>
      <c r="C17" s="57"/>
      <c r="D17" s="52">
        <f t="shared" ref="D17:L17" si="10">MAX(0,2+D$7+(D$8&lt;=$C16)+(D$8&lt;=MAX($C16-18,0))+(D$8&lt;=MAX($C16-36,0))-D16)*NOT(ISBLANK($C16))</f>
        <v>0</v>
      </c>
      <c r="E17" s="52">
        <f t="shared" si="10"/>
        <v>2</v>
      </c>
      <c r="F17" s="52">
        <f t="shared" si="10"/>
        <v>1</v>
      </c>
      <c r="G17" s="52">
        <f t="shared" si="10"/>
        <v>2</v>
      </c>
      <c r="H17" s="52">
        <f t="shared" si="10"/>
        <v>1</v>
      </c>
      <c r="I17" s="52">
        <f t="shared" si="10"/>
        <v>2</v>
      </c>
      <c r="J17" s="52">
        <f t="shared" si="10"/>
        <v>0</v>
      </c>
      <c r="K17" s="52">
        <f t="shared" si="10"/>
        <v>0</v>
      </c>
      <c r="L17" s="52">
        <f t="shared" si="10"/>
        <v>0</v>
      </c>
      <c r="M17" s="52">
        <f t="shared" si="0"/>
        <v>8</v>
      </c>
      <c r="N17" s="52">
        <f t="shared" ref="N17:V17" si="11">MAX(0,2+N$7+(N$8&lt;=$C16)+(N$8&lt;=MAX($C16-18,0))+(N$8&lt;=MAX($C16-36,0))-N16)*NOT(ISBLANK($C16))</f>
        <v>1</v>
      </c>
      <c r="O17" s="52">
        <f t="shared" si="11"/>
        <v>2</v>
      </c>
      <c r="P17" s="52">
        <f t="shared" si="11"/>
        <v>0</v>
      </c>
      <c r="Q17" s="52">
        <f t="shared" si="11"/>
        <v>2</v>
      </c>
      <c r="R17" s="52">
        <f t="shared" si="11"/>
        <v>2</v>
      </c>
      <c r="S17" s="52">
        <f t="shared" si="11"/>
        <v>2</v>
      </c>
      <c r="T17" s="52">
        <f t="shared" si="11"/>
        <v>1</v>
      </c>
      <c r="U17" s="52">
        <f t="shared" si="11"/>
        <v>1</v>
      </c>
      <c r="V17" s="52">
        <f t="shared" si="11"/>
        <v>1</v>
      </c>
      <c r="W17" s="52">
        <f t="shared" si="1"/>
        <v>12</v>
      </c>
      <c r="X17" s="52">
        <f t="shared" si="2"/>
        <v>20</v>
      </c>
      <c r="Y17" s="83"/>
      <c r="Z17" s="87" cm="1">
        <f t="array" ref="Z17">_xlfn.IFS(
    AND(Z16 &gt;= 50, Z16 &lt;= 70), 70,
    AND(Z16 &gt;= 70, Z16 &lt;= 75), 50,
    AND(Z16 &gt;= 75, Z16 &lt;= 80), 40,
    AND(Z16 &gt;= 81, Z16 &lt;= 85), 35,
    AND(Z16 &gt;= 85, Z16 &lt;= 90), 30,
    AND(Z16 &gt;= 90, Z16 &lt;= 110), 25,
 AND(Z16 &gt;= 110),0
)</f>
        <v>30</v>
      </c>
      <c r="AA17" s="88">
        <f>SUMIF(D17:L17, "&gt;2")+SUMIF(N17:V17, "&gt;2")</f>
        <v>0</v>
      </c>
      <c r="AB17" s="128">
        <v>0</v>
      </c>
      <c r="AC17" s="128">
        <v>0</v>
      </c>
      <c r="AD17" s="128">
        <v>0</v>
      </c>
      <c r="AE17" s="89">
        <f>SUM(Z17:AD17)</f>
        <v>30</v>
      </c>
      <c r="AF17" s="116"/>
      <c r="AG17" s="17" t="s">
        <v>4</v>
      </c>
      <c r="AH17" s="18">
        <v>10</v>
      </c>
    </row>
    <row r="18" spans="2:42" ht="15" thickTop="1"/>
    <row r="20" spans="2:42" ht="15" thickBot="1">
      <c r="C20" s="2"/>
      <c r="O20" s="8"/>
    </row>
    <row r="21" spans="2:42" ht="15.6" thickTop="1" thickBot="1">
      <c r="B21" s="78" t="s">
        <v>92</v>
      </c>
      <c r="C21" s="46">
        <v>72</v>
      </c>
      <c r="O21" s="8"/>
    </row>
    <row r="22" spans="2:42" ht="15.6" thickTop="1" thickBot="1">
      <c r="B22" s="78" t="s">
        <v>93</v>
      </c>
      <c r="C22" s="46">
        <v>128</v>
      </c>
      <c r="O22" s="8"/>
    </row>
    <row r="23" spans="2:42" ht="15.6" thickTop="1" thickBot="1">
      <c r="B23" s="78" t="s">
        <v>88</v>
      </c>
      <c r="C23" s="46">
        <v>72</v>
      </c>
      <c r="O23" s="8"/>
    </row>
    <row r="24" spans="2:42" ht="15" thickTop="1">
      <c r="O24" s="8"/>
    </row>
    <row r="25" spans="2:42">
      <c r="O25" s="8"/>
    </row>
    <row r="26" spans="2:42" ht="15" thickBot="1">
      <c r="O26" s="8"/>
    </row>
    <row r="27" spans="2:42" ht="16.5" thickTop="1" thickBot="1">
      <c r="O27" s="8"/>
      <c r="AM27" s="157" t="s">
        <v>13</v>
      </c>
      <c r="AN27" s="156" t="s">
        <v>14</v>
      </c>
      <c r="AO27" s="156" t="s">
        <v>12</v>
      </c>
      <c r="AP27" s="156" t="s">
        <v>11</v>
      </c>
    </row>
    <row r="28" spans="2:42" ht="15.6" thickTop="1" thickBot="1">
      <c r="O28" s="8"/>
      <c r="AK28" s="26" t="s">
        <v>38</v>
      </c>
      <c r="AL28" s="26" t="s">
        <v>74</v>
      </c>
      <c r="AM28" s="162">
        <v>13.194000000000001</v>
      </c>
      <c r="AN28" s="162">
        <v>16.84</v>
      </c>
      <c r="AO28" s="162">
        <v>21.513000000000002</v>
      </c>
      <c r="AP28" s="163">
        <v>15.071999999999999</v>
      </c>
    </row>
    <row r="29" spans="2:42" ht="15" thickTop="1">
      <c r="AM29" s="5">
        <v>14</v>
      </c>
      <c r="AN29" s="5">
        <v>18</v>
      </c>
      <c r="AO29" s="5">
        <v>23</v>
      </c>
      <c r="AP29" s="5">
        <v>16</v>
      </c>
    </row>
    <row r="31" spans="2:42" ht="15" thickBot="1"/>
    <row r="32" spans="2:42">
      <c r="AK32" s="258" t="s">
        <v>98</v>
      </c>
      <c r="AL32" s="260" t="s">
        <v>99</v>
      </c>
      <c r="AM32" s="285"/>
      <c r="AN32" s="258" t="s">
        <v>98</v>
      </c>
      <c r="AO32" s="260" t="s">
        <v>99</v>
      </c>
    </row>
    <row r="33" spans="37:41" ht="15" thickBot="1">
      <c r="AK33" s="259" t="s">
        <v>100</v>
      </c>
      <c r="AL33" s="261" t="s">
        <v>100</v>
      </c>
      <c r="AM33" s="285"/>
      <c r="AN33" s="259" t="s">
        <v>100</v>
      </c>
      <c r="AO33" s="261" t="s">
        <v>100</v>
      </c>
    </row>
    <row r="34" spans="37:41" ht="15" thickBot="1">
      <c r="AK34" s="263" t="s">
        <v>101</v>
      </c>
      <c r="AL34" s="264">
        <v>2</v>
      </c>
      <c r="AM34" s="262"/>
      <c r="AN34" s="263" t="s">
        <v>102</v>
      </c>
      <c r="AO34" s="264" t="s">
        <v>103</v>
      </c>
    </row>
    <row r="35" spans="37:41" ht="15" thickBot="1">
      <c r="AK35" s="265" t="s">
        <v>104</v>
      </c>
      <c r="AL35" s="266">
        <v>3</v>
      </c>
      <c r="AM35" s="262"/>
      <c r="AN35" s="265" t="s">
        <v>105</v>
      </c>
      <c r="AO35" s="266">
        <v>15</v>
      </c>
    </row>
    <row r="36" spans="37:41" ht="15" thickBot="1">
      <c r="AK36" s="263" t="s">
        <v>106</v>
      </c>
      <c r="AL36" s="264">
        <v>4</v>
      </c>
      <c r="AM36" s="262"/>
      <c r="AN36" s="263" t="s">
        <v>107</v>
      </c>
      <c r="AO36" s="264" t="s">
        <v>108</v>
      </c>
    </row>
    <row r="37" spans="37:41" ht="15" thickBot="1">
      <c r="AK37" s="265" t="s">
        <v>109</v>
      </c>
      <c r="AL37" s="266">
        <v>5</v>
      </c>
      <c r="AM37" s="262"/>
      <c r="AN37" s="265" t="s">
        <v>110</v>
      </c>
      <c r="AO37" s="266">
        <v>17</v>
      </c>
    </row>
    <row r="38" spans="37:41" ht="15" thickBot="1">
      <c r="AK38" s="263" t="s">
        <v>111</v>
      </c>
      <c r="AL38" s="264">
        <v>6</v>
      </c>
      <c r="AM38" s="262"/>
      <c r="AN38" s="263" t="s">
        <v>112</v>
      </c>
      <c r="AO38" s="264" t="s">
        <v>113</v>
      </c>
    </row>
    <row r="39" spans="37:41" ht="15" thickBot="1">
      <c r="AK39" s="265" t="s">
        <v>114</v>
      </c>
      <c r="AL39" s="266">
        <v>7</v>
      </c>
      <c r="AM39" s="262"/>
      <c r="AN39" s="265" t="s">
        <v>115</v>
      </c>
      <c r="AO39" s="266">
        <v>19</v>
      </c>
    </row>
    <row r="40" spans="37:41" ht="15" thickBot="1">
      <c r="AK40" s="263" t="s">
        <v>116</v>
      </c>
      <c r="AL40" s="264">
        <v>8</v>
      </c>
      <c r="AM40" s="262"/>
      <c r="AN40" s="263" t="s">
        <v>117</v>
      </c>
      <c r="AO40" s="264">
        <v>20</v>
      </c>
    </row>
    <row r="41" spans="37:41" ht="15" thickBot="1">
      <c r="AK41" s="265" t="s">
        <v>118</v>
      </c>
      <c r="AL41" s="266">
        <v>9</v>
      </c>
      <c r="AM41" s="262"/>
      <c r="AN41" s="265" t="s">
        <v>119</v>
      </c>
      <c r="AO41" s="266">
        <v>21</v>
      </c>
    </row>
    <row r="42" spans="37:41" ht="15" thickBot="1">
      <c r="AK42" s="263" t="s">
        <v>120</v>
      </c>
      <c r="AL42" s="264">
        <v>10</v>
      </c>
      <c r="AM42" s="262"/>
      <c r="AN42" s="263" t="s">
        <v>121</v>
      </c>
      <c r="AO42" s="264">
        <v>22</v>
      </c>
    </row>
    <row r="43" spans="37:41" ht="15" thickBot="1">
      <c r="AK43" s="265" t="s">
        <v>122</v>
      </c>
      <c r="AL43" s="266">
        <v>11</v>
      </c>
      <c r="AM43" s="262"/>
      <c r="AN43" s="265" t="s">
        <v>123</v>
      </c>
      <c r="AO43" s="266" t="s">
        <v>124</v>
      </c>
    </row>
    <row r="44" spans="37:41" ht="15" thickBot="1">
      <c r="AK44" s="263" t="s">
        <v>125</v>
      </c>
      <c r="AL44" s="264">
        <v>12</v>
      </c>
      <c r="AM44" s="262"/>
      <c r="AN44" s="263" t="s">
        <v>126</v>
      </c>
      <c r="AO44" s="264">
        <v>24</v>
      </c>
    </row>
    <row r="45" spans="37:41" ht="15" thickBot="1">
      <c r="AK45" s="265" t="s">
        <v>127</v>
      </c>
      <c r="AL45" s="266">
        <v>13</v>
      </c>
      <c r="AM45" s="262"/>
      <c r="AN45" s="265" t="s">
        <v>128</v>
      </c>
      <c r="AO45" s="266">
        <v>25</v>
      </c>
    </row>
  </sheetData>
  <mergeCells count="3">
    <mergeCell ref="C4:AE4"/>
    <mergeCell ref="C5:AE5"/>
    <mergeCell ref="AM32:AM33"/>
  </mergeCells>
  <conditionalFormatting sqref="D11:V11">
    <cfRule type="cellIs" dxfId="19" priority="2" operator="between">
      <formula>3</formula>
      <formula>5</formula>
    </cfRule>
  </conditionalFormatting>
  <conditionalFormatting sqref="D13:V13 D15:V15 D17:V17">
    <cfRule type="cellIs" dxfId="18" priority="1" operator="between">
      <formula>3</formula>
      <formula>5</formula>
    </cfRule>
  </conditionalFormatting>
  <pageMargins left="0.7" right="0.7" top="0.75" bottom="0.75" header="0.3" footer="0.3"/>
  <headerFooter>
    <oddFooter>&amp;C_x000D_&amp;1#&amp;"Calibri"&amp;10&amp;K000000 OFFICIAL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31E2-E85F-47AF-8778-FF3314511E19}">
  <dimension ref="B3:AP36"/>
  <sheetViews>
    <sheetView showGridLines="0" zoomScale="99" workbookViewId="0">
      <selection activeCell="G20" sqref="G20"/>
    </sheetView>
  </sheetViews>
  <sheetFormatPr defaultColWidth="8.85546875" defaultRowHeight="14.45"/>
  <cols>
    <col min="1" max="1" width="8.85546875" style="5"/>
    <col min="2" max="2" width="13.42578125" style="1" customWidth="1"/>
    <col min="3" max="3" width="7.140625" style="1" customWidth="1"/>
    <col min="4" max="5" width="5.42578125" style="4" customWidth="1"/>
    <col min="6" max="6" width="5.7109375" style="4" customWidth="1"/>
    <col min="7" max="7" width="5.85546875" style="4" customWidth="1"/>
    <col min="8" max="8" width="5.42578125" style="4" customWidth="1"/>
    <col min="9" max="9" width="6" style="4" customWidth="1"/>
    <col min="10" max="10" width="5.7109375" style="4" customWidth="1"/>
    <col min="11" max="11" width="6" style="4" customWidth="1"/>
    <col min="12" max="12" width="5.42578125" style="4" customWidth="1"/>
    <col min="13" max="13" width="6.85546875" style="3" customWidth="1"/>
    <col min="14" max="14" width="6" style="4" customWidth="1"/>
    <col min="15" max="15" width="5.85546875" style="4" customWidth="1"/>
    <col min="16" max="16" width="6.140625" style="4" customWidth="1"/>
    <col min="17" max="19" width="5.42578125" style="4" customWidth="1"/>
    <col min="20" max="20" width="5.28515625" style="4" customWidth="1"/>
    <col min="21" max="21" width="5.140625" style="4" customWidth="1"/>
    <col min="22" max="22" width="5.42578125" style="4" customWidth="1"/>
    <col min="23" max="23" width="7.28515625" style="3" customWidth="1"/>
    <col min="24" max="24" width="5.7109375" style="3" customWidth="1"/>
    <col min="25" max="25" width="6.5703125" style="3" customWidth="1"/>
    <col min="26" max="32" width="8.85546875" style="5"/>
    <col min="33" max="33" width="9.7109375" style="5" bestFit="1" customWidth="1"/>
    <col min="34" max="34" width="11.42578125" style="5" bestFit="1" customWidth="1"/>
    <col min="35" max="35" width="8.85546875" style="5"/>
    <col min="36" max="36" width="7.28515625" style="5" customWidth="1"/>
    <col min="37" max="37" width="13.85546875" style="5" bestFit="1" customWidth="1"/>
    <col min="38" max="16384" width="8.85546875" style="5"/>
  </cols>
  <sheetData>
    <row r="3" spans="2:37" ht="15" thickBot="1"/>
    <row r="4" spans="2:37" ht="15.6" thickTop="1" thickBot="1">
      <c r="C4" s="268" t="s">
        <v>129</v>
      </c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69"/>
    </row>
    <row r="5" spans="2:37" ht="15.6" thickTop="1" thickBot="1">
      <c r="C5" s="268" t="s">
        <v>130</v>
      </c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70"/>
      <c r="AA5" s="270"/>
      <c r="AB5" s="270"/>
      <c r="AC5" s="270"/>
      <c r="AD5" s="270"/>
      <c r="AE5" s="270"/>
    </row>
    <row r="6" spans="2:37" s="1" customFormat="1" ht="15.6" thickTop="1" thickBot="1">
      <c r="C6" s="38" t="s">
        <v>84</v>
      </c>
      <c r="D6" s="39">
        <v>1</v>
      </c>
      <c r="E6" s="39">
        <v>2</v>
      </c>
      <c r="F6" s="39">
        <v>3</v>
      </c>
      <c r="G6" s="39">
        <v>4</v>
      </c>
      <c r="H6" s="39">
        <v>5</v>
      </c>
      <c r="I6" s="39">
        <v>6</v>
      </c>
      <c r="J6" s="39">
        <v>7</v>
      </c>
      <c r="K6" s="39">
        <v>8</v>
      </c>
      <c r="L6" s="39">
        <v>9</v>
      </c>
      <c r="M6" s="39" t="s">
        <v>85</v>
      </c>
      <c r="N6" s="39">
        <v>10</v>
      </c>
      <c r="O6" s="39">
        <v>11</v>
      </c>
      <c r="P6" s="39">
        <v>12</v>
      </c>
      <c r="Q6" s="39">
        <v>13</v>
      </c>
      <c r="R6" s="39">
        <v>14</v>
      </c>
      <c r="S6" s="39">
        <v>15</v>
      </c>
      <c r="T6" s="39">
        <v>16</v>
      </c>
      <c r="U6" s="39">
        <v>17</v>
      </c>
      <c r="V6" s="39">
        <v>18</v>
      </c>
      <c r="W6" s="39" t="s">
        <v>86</v>
      </c>
      <c r="X6" s="39" t="s">
        <v>7</v>
      </c>
      <c r="Y6" s="78" t="s">
        <v>87</v>
      </c>
      <c r="Z6" s="84" t="s">
        <v>2</v>
      </c>
      <c r="AA6" s="85" t="s">
        <v>3</v>
      </c>
      <c r="AB6" s="85" t="s">
        <v>4</v>
      </c>
      <c r="AC6" s="85" t="s">
        <v>5</v>
      </c>
      <c r="AD6" s="85" t="s">
        <v>6</v>
      </c>
      <c r="AE6" s="86" t="s">
        <v>7</v>
      </c>
      <c r="AF6" s="86" t="s">
        <v>9</v>
      </c>
    </row>
    <row r="7" spans="2:37" s="1" customFormat="1" ht="15.6" thickTop="1" thickBot="1">
      <c r="C7" s="38" t="s">
        <v>88</v>
      </c>
      <c r="D7" s="39">
        <v>4</v>
      </c>
      <c r="E7" s="39">
        <v>5</v>
      </c>
      <c r="F7" s="39">
        <v>4</v>
      </c>
      <c r="G7" s="39">
        <v>3</v>
      </c>
      <c r="H7" s="39">
        <v>4</v>
      </c>
      <c r="I7" s="39">
        <v>4</v>
      </c>
      <c r="J7" s="39">
        <v>3</v>
      </c>
      <c r="K7" s="39">
        <v>5</v>
      </c>
      <c r="L7" s="39">
        <v>4</v>
      </c>
      <c r="M7" s="39">
        <f>SUM(D7:L7)</f>
        <v>36</v>
      </c>
      <c r="N7" s="39">
        <v>5</v>
      </c>
      <c r="O7" s="39">
        <v>4</v>
      </c>
      <c r="P7" s="39">
        <v>3</v>
      </c>
      <c r="Q7" s="39">
        <v>4</v>
      </c>
      <c r="R7" s="39">
        <v>4</v>
      </c>
      <c r="S7" s="39">
        <v>3</v>
      </c>
      <c r="T7" s="39">
        <v>4</v>
      </c>
      <c r="U7" s="39">
        <v>4</v>
      </c>
      <c r="V7" s="39">
        <v>5</v>
      </c>
      <c r="W7" s="39">
        <f>SUM(N7:V7)</f>
        <v>36</v>
      </c>
      <c r="X7" s="39">
        <f>M7+W7</f>
        <v>72</v>
      </c>
      <c r="Y7" s="78"/>
      <c r="Z7" s="111"/>
      <c r="AA7" s="112" t="s">
        <v>18</v>
      </c>
      <c r="AB7" s="112" t="s">
        <v>18</v>
      </c>
      <c r="AC7" s="112" t="s">
        <v>18</v>
      </c>
      <c r="AD7" s="112" t="s">
        <v>18</v>
      </c>
      <c r="AE7" s="113" t="s">
        <v>18</v>
      </c>
      <c r="AF7" s="86"/>
      <c r="AG7" s="6" t="s">
        <v>17</v>
      </c>
      <c r="AH7" s="7" t="s">
        <v>18</v>
      </c>
      <c r="AJ7" s="121"/>
      <c r="AK7" s="121"/>
    </row>
    <row r="8" spans="2:37" s="1" customFormat="1" ht="15.6" thickTop="1" thickBot="1">
      <c r="C8" s="38" t="s">
        <v>89</v>
      </c>
      <c r="D8" s="39">
        <v>5</v>
      </c>
      <c r="E8" s="39">
        <v>9</v>
      </c>
      <c r="F8" s="39">
        <v>3</v>
      </c>
      <c r="G8" s="39">
        <v>14</v>
      </c>
      <c r="H8" s="39">
        <v>11</v>
      </c>
      <c r="I8" s="39">
        <v>15</v>
      </c>
      <c r="J8" s="39">
        <v>18</v>
      </c>
      <c r="K8" s="39">
        <v>13</v>
      </c>
      <c r="L8" s="39">
        <v>1</v>
      </c>
      <c r="M8" s="39"/>
      <c r="N8" s="39">
        <v>12</v>
      </c>
      <c r="O8" s="39">
        <v>10</v>
      </c>
      <c r="P8" s="39">
        <v>16</v>
      </c>
      <c r="Q8" s="39">
        <v>8</v>
      </c>
      <c r="R8" s="39">
        <v>2</v>
      </c>
      <c r="S8" s="39">
        <v>17</v>
      </c>
      <c r="T8" s="39">
        <v>6</v>
      </c>
      <c r="U8" s="39">
        <v>7</v>
      </c>
      <c r="V8" s="39">
        <v>4</v>
      </c>
      <c r="W8" s="39"/>
      <c r="X8" s="39"/>
      <c r="Y8" s="78"/>
      <c r="Z8" s="114"/>
      <c r="AA8" s="115"/>
      <c r="AB8" s="115"/>
      <c r="AC8" s="115"/>
      <c r="AD8" s="115"/>
      <c r="AE8" s="116"/>
      <c r="AF8" s="116"/>
      <c r="AG8" s="9" t="s">
        <v>27</v>
      </c>
      <c r="AH8" s="10">
        <v>70</v>
      </c>
      <c r="AJ8" s="122"/>
      <c r="AK8" s="123"/>
    </row>
    <row r="9" spans="2:37" ht="15.6" thickTop="1" thickBot="1">
      <c r="C9" s="40" t="s">
        <v>90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79"/>
      <c r="Z9" s="111"/>
      <c r="AA9" s="112"/>
      <c r="AB9" s="112"/>
      <c r="AC9" s="112"/>
      <c r="AD9" s="112"/>
      <c r="AE9" s="113"/>
      <c r="AF9" s="116"/>
      <c r="AG9" s="11" t="s">
        <v>32</v>
      </c>
      <c r="AH9" s="12">
        <v>50</v>
      </c>
      <c r="AJ9" s="122"/>
      <c r="AK9" s="117"/>
    </row>
    <row r="10" spans="2:37" ht="15.6" thickTop="1" thickBot="1">
      <c r="B10" s="42" t="s">
        <v>13</v>
      </c>
      <c r="C10" s="54">
        <v>13</v>
      </c>
      <c r="D10" s="43">
        <v>10</v>
      </c>
      <c r="E10" s="43">
        <v>10</v>
      </c>
      <c r="F10" s="43">
        <v>10</v>
      </c>
      <c r="G10" s="43">
        <v>10</v>
      </c>
      <c r="H10" s="43">
        <v>10</v>
      </c>
      <c r="I10" s="43">
        <v>10</v>
      </c>
      <c r="J10" s="43">
        <v>10</v>
      </c>
      <c r="K10" s="43">
        <v>10</v>
      </c>
      <c r="L10" s="43">
        <v>10</v>
      </c>
      <c r="M10" s="43">
        <f t="shared" ref="M10:M17" si="0">SUM(D10:L10)</f>
        <v>90</v>
      </c>
      <c r="N10" s="43">
        <v>10</v>
      </c>
      <c r="O10" s="43">
        <v>10</v>
      </c>
      <c r="P10" s="43">
        <v>10</v>
      </c>
      <c r="Q10" s="43">
        <v>10</v>
      </c>
      <c r="R10" s="43">
        <v>10</v>
      </c>
      <c r="S10" s="43">
        <v>10</v>
      </c>
      <c r="T10" s="43">
        <v>10</v>
      </c>
      <c r="U10" s="43">
        <v>10</v>
      </c>
      <c r="V10" s="43">
        <v>10</v>
      </c>
      <c r="W10" s="43">
        <f t="shared" ref="W10:W17" si="1">SUM(N10:V10)</f>
        <v>90</v>
      </c>
      <c r="X10" s="127">
        <f t="shared" ref="X10:X17" si="2">+M10+W10</f>
        <v>180</v>
      </c>
      <c r="Y10" s="80">
        <f>X11</f>
        <v>0</v>
      </c>
      <c r="Z10" s="108">
        <f>X10-C10</f>
        <v>167</v>
      </c>
      <c r="AA10" s="109"/>
      <c r="AB10" s="109"/>
      <c r="AC10" s="109"/>
      <c r="AD10" s="109"/>
      <c r="AE10" s="110"/>
      <c r="AF10" s="116">
        <v>0</v>
      </c>
      <c r="AG10" s="11" t="s">
        <v>37</v>
      </c>
      <c r="AH10" s="12">
        <v>40</v>
      </c>
      <c r="AJ10" s="35"/>
      <c r="AK10" s="123"/>
    </row>
    <row r="11" spans="2:37" ht="15.6" thickTop="1" thickBot="1">
      <c r="B11" s="44" t="s">
        <v>91</v>
      </c>
      <c r="C11" s="54"/>
      <c r="D11" s="43">
        <f>MAX(0,2+D$7+(D$8&lt;=$C10)+(D$8&lt;=MAX($C10-18,0))+(D$8&lt;=MAX($C10-36,0))-D10)*NOT(ISBLANK($C10))</f>
        <v>0</v>
      </c>
      <c r="E11" s="43">
        <f t="shared" ref="E11:L11" si="3">MAX(0,2+E$7+(E$8&lt;=$C10)+(E$8&lt;=MAX($C10-18,0))+(E$8&lt;=MAX($C10-36,0))-E10)*NOT(ISBLANK($C10))</f>
        <v>0</v>
      </c>
      <c r="F11" s="43">
        <f t="shared" si="3"/>
        <v>0</v>
      </c>
      <c r="G11" s="43">
        <f t="shared" si="3"/>
        <v>0</v>
      </c>
      <c r="H11" s="43">
        <f t="shared" si="3"/>
        <v>0</v>
      </c>
      <c r="I11" s="43">
        <f t="shared" si="3"/>
        <v>0</v>
      </c>
      <c r="J11" s="43">
        <f t="shared" si="3"/>
        <v>0</v>
      </c>
      <c r="K11" s="43">
        <f t="shared" si="3"/>
        <v>0</v>
      </c>
      <c r="L11" s="43">
        <f t="shared" si="3"/>
        <v>0</v>
      </c>
      <c r="M11" s="43">
        <f t="shared" si="0"/>
        <v>0</v>
      </c>
      <c r="N11" s="43">
        <f t="shared" ref="N11:V11" si="4">MAX(0,2+N$7+(N$8&lt;=$C10)+(N$8&lt;=MAX($C10-18,0))+(N$8&lt;=MAX($C10-36,0))-N10)*NOT(ISBLANK($C10))</f>
        <v>0</v>
      </c>
      <c r="O11" s="43">
        <f t="shared" si="4"/>
        <v>0</v>
      </c>
      <c r="P11" s="43">
        <f t="shared" si="4"/>
        <v>0</v>
      </c>
      <c r="Q11" s="43">
        <f t="shared" si="4"/>
        <v>0</v>
      </c>
      <c r="R11" s="43">
        <f t="shared" si="4"/>
        <v>0</v>
      </c>
      <c r="S11" s="43">
        <f t="shared" si="4"/>
        <v>0</v>
      </c>
      <c r="T11" s="43">
        <f t="shared" si="4"/>
        <v>0</v>
      </c>
      <c r="U11" s="43">
        <f t="shared" si="4"/>
        <v>0</v>
      </c>
      <c r="V11" s="43">
        <f t="shared" si="4"/>
        <v>0</v>
      </c>
      <c r="W11" s="43">
        <f t="shared" si="1"/>
        <v>0</v>
      </c>
      <c r="X11" s="43">
        <f t="shared" si="2"/>
        <v>0</v>
      </c>
      <c r="Y11" s="80"/>
      <c r="Z11" s="105" cm="1">
        <f t="array" ref="Z11">_xlfn.IFS(
    AND(Z10 &gt;= 50, Z10 &lt;= 70), 70,
    AND(Z10 &gt;= 70, Z10 &lt;= 75), 50,
    AND(Z10 &gt;= 75, Z10 &lt;= 80), 40,
    AND(Z10 &gt;= 81, Z10 &lt;= 85), 35,
    AND(Z10 &gt;= 85, Z10 &lt;= 90), 30,
    AND(Z10 &gt;= 90, Z10 &lt;= 110), 25,
 AND(Z10 &gt;= 110),0
)</f>
        <v>0</v>
      </c>
      <c r="AA11" s="106">
        <f>SUMIF(D11:L11, "&gt;2")+SUMIF(N11:V11, "&gt;2")</f>
        <v>0</v>
      </c>
      <c r="AB11" s="128">
        <v>0</v>
      </c>
      <c r="AC11" s="128">
        <v>0</v>
      </c>
      <c r="AD11" s="128">
        <v>0</v>
      </c>
      <c r="AE11" s="107">
        <f>SUM(Z11:AD11)</f>
        <v>0</v>
      </c>
      <c r="AF11" s="116"/>
      <c r="AG11" s="11" t="s">
        <v>40</v>
      </c>
      <c r="AH11" s="12">
        <v>35</v>
      </c>
      <c r="AJ11" s="35"/>
      <c r="AK11" s="118"/>
    </row>
    <row r="12" spans="2:37" ht="15.6" thickTop="1" thickBot="1">
      <c r="B12" s="45" t="s">
        <v>14</v>
      </c>
      <c r="C12" s="55">
        <v>17</v>
      </c>
      <c r="D12" s="234">
        <v>10</v>
      </c>
      <c r="E12" s="234">
        <v>10</v>
      </c>
      <c r="F12" s="234">
        <v>10</v>
      </c>
      <c r="G12" s="234">
        <v>10</v>
      </c>
      <c r="H12" s="234">
        <v>10</v>
      </c>
      <c r="I12" s="234">
        <v>10</v>
      </c>
      <c r="J12" s="234">
        <v>10</v>
      </c>
      <c r="K12" s="234">
        <v>10</v>
      </c>
      <c r="L12" s="234">
        <v>10</v>
      </c>
      <c r="M12" s="46">
        <f t="shared" si="0"/>
        <v>90</v>
      </c>
      <c r="N12" s="234">
        <v>10</v>
      </c>
      <c r="O12" s="234">
        <v>10</v>
      </c>
      <c r="P12" s="234">
        <v>10</v>
      </c>
      <c r="Q12" s="234">
        <v>10</v>
      </c>
      <c r="R12" s="234">
        <v>10</v>
      </c>
      <c r="S12" s="234">
        <v>10</v>
      </c>
      <c r="T12" s="234">
        <v>10</v>
      </c>
      <c r="U12" s="234">
        <v>10</v>
      </c>
      <c r="V12" s="234">
        <v>10</v>
      </c>
      <c r="W12" s="46">
        <f t="shared" si="1"/>
        <v>90</v>
      </c>
      <c r="X12" s="126">
        <f t="shared" si="2"/>
        <v>180</v>
      </c>
      <c r="Y12" s="81">
        <f>X13</f>
        <v>0</v>
      </c>
      <c r="Z12" s="102">
        <f>X12-C12</f>
        <v>163</v>
      </c>
      <c r="AA12" s="103"/>
      <c r="AB12" s="103"/>
      <c r="AC12" s="103"/>
      <c r="AD12" s="103"/>
      <c r="AE12" s="104"/>
      <c r="AF12" s="116">
        <v>0</v>
      </c>
      <c r="AG12" s="11" t="s">
        <v>42</v>
      </c>
      <c r="AH12" s="12">
        <v>30</v>
      </c>
      <c r="AJ12" s="36"/>
      <c r="AK12" s="123"/>
    </row>
    <row r="13" spans="2:37" ht="15.6" thickTop="1" thickBot="1">
      <c r="B13" s="47" t="s">
        <v>91</v>
      </c>
      <c r="C13" s="55"/>
      <c r="D13" s="46">
        <f>MAX(0,2+D$7+(D$8&lt;=$C12)+(D$8&lt;=MAX($C12-18,0))+(D$8&lt;=MAX($C12-36,0))-D12)*NOT(ISBLANK($C12))</f>
        <v>0</v>
      </c>
      <c r="E13" s="46">
        <f t="shared" ref="E13:L13" si="5">MAX(0,2+E$7+(E$8&lt;=$C12)+(E$8&lt;=MAX($C12-18,0))+(E$8&lt;=MAX($C12-36,0))-E12)*NOT(ISBLANK($C12))</f>
        <v>0</v>
      </c>
      <c r="F13" s="46">
        <f t="shared" si="5"/>
        <v>0</v>
      </c>
      <c r="G13" s="46">
        <f t="shared" si="5"/>
        <v>0</v>
      </c>
      <c r="H13" s="46">
        <f t="shared" si="5"/>
        <v>0</v>
      </c>
      <c r="I13" s="46">
        <f t="shared" si="5"/>
        <v>0</v>
      </c>
      <c r="J13" s="46">
        <f t="shared" si="5"/>
        <v>0</v>
      </c>
      <c r="K13" s="46">
        <f t="shared" si="5"/>
        <v>0</v>
      </c>
      <c r="L13" s="46">
        <f t="shared" si="5"/>
        <v>0</v>
      </c>
      <c r="M13" s="46">
        <f t="shared" si="0"/>
        <v>0</v>
      </c>
      <c r="N13" s="46">
        <f t="shared" ref="N13:V13" si="6">MAX(0,2+N$7+(N$8&lt;=$C12)+(N$8&lt;=MAX($C12-18,0))+(N$8&lt;=MAX($C12-36,0))-N12)*NOT(ISBLANK($C12))</f>
        <v>0</v>
      </c>
      <c r="O13" s="46">
        <f t="shared" si="6"/>
        <v>0</v>
      </c>
      <c r="P13" s="46">
        <f t="shared" si="6"/>
        <v>0</v>
      </c>
      <c r="Q13" s="46">
        <f t="shared" si="6"/>
        <v>0</v>
      </c>
      <c r="R13" s="46">
        <f t="shared" si="6"/>
        <v>0</v>
      </c>
      <c r="S13" s="46">
        <f t="shared" si="6"/>
        <v>0</v>
      </c>
      <c r="T13" s="46">
        <f t="shared" si="6"/>
        <v>0</v>
      </c>
      <c r="U13" s="46">
        <f t="shared" si="6"/>
        <v>0</v>
      </c>
      <c r="V13" s="46">
        <f t="shared" si="6"/>
        <v>0</v>
      </c>
      <c r="W13" s="46">
        <f t="shared" si="1"/>
        <v>0</v>
      </c>
      <c r="X13" s="46">
        <f t="shared" si="2"/>
        <v>0</v>
      </c>
      <c r="Y13" s="81"/>
      <c r="Z13" s="99" cm="1">
        <f t="array" ref="Z13">_xlfn.IFS(
    AND(Z12 &gt;= 50, Z12 &lt;= 70), 70,
    AND(Z12 &gt;= 70, Z12 &lt;= 75), 50,
    AND(Z12 &gt;= 75, Z12 &lt;= 80), 40,
    AND(Z12 &gt;= 81, Z12 &lt;= 85), 35,
    AND(Z12 &gt;= 85, Z12 &lt;= 90), 30,
    AND(Z12 &gt;= 90, Z12 &lt;= 110), 25,
 AND(Z12 &gt;= 110),0
)</f>
        <v>0</v>
      </c>
      <c r="AA13" s="100">
        <f>SUMIF(D13:L13, "&gt;2")+SUMIF(N13:V13, "&gt;2")</f>
        <v>0</v>
      </c>
      <c r="AB13" s="128">
        <v>0</v>
      </c>
      <c r="AC13" s="128">
        <v>0</v>
      </c>
      <c r="AD13" s="128">
        <v>0</v>
      </c>
      <c r="AE13" s="101">
        <f>SUM(Z13:AD13)</f>
        <v>0</v>
      </c>
      <c r="AF13" s="116"/>
      <c r="AG13" s="13" t="s">
        <v>44</v>
      </c>
      <c r="AH13" s="14">
        <v>25</v>
      </c>
      <c r="AJ13" s="36"/>
      <c r="AK13" s="119"/>
    </row>
    <row r="14" spans="2:37" ht="15.6" thickTop="1" thickBot="1">
      <c r="B14" s="48" t="s">
        <v>12</v>
      </c>
      <c r="C14" s="56">
        <v>22</v>
      </c>
      <c r="D14" s="235">
        <v>10</v>
      </c>
      <c r="E14" s="235">
        <v>10</v>
      </c>
      <c r="F14" s="235">
        <v>10</v>
      </c>
      <c r="G14" s="235">
        <v>10</v>
      </c>
      <c r="H14" s="235">
        <v>10</v>
      </c>
      <c r="I14" s="235">
        <v>10</v>
      </c>
      <c r="J14" s="235">
        <v>10</v>
      </c>
      <c r="K14" s="235">
        <v>10</v>
      </c>
      <c r="L14" s="235">
        <v>10</v>
      </c>
      <c r="M14" s="49">
        <f t="shared" si="0"/>
        <v>90</v>
      </c>
      <c r="N14" s="235">
        <v>10</v>
      </c>
      <c r="O14" s="235">
        <v>10</v>
      </c>
      <c r="P14" s="235">
        <v>10</v>
      </c>
      <c r="Q14" s="235">
        <v>10</v>
      </c>
      <c r="R14" s="235">
        <v>10</v>
      </c>
      <c r="S14" s="235">
        <v>10</v>
      </c>
      <c r="T14" s="235">
        <v>10</v>
      </c>
      <c r="U14" s="235">
        <v>10</v>
      </c>
      <c r="V14" s="235">
        <v>10</v>
      </c>
      <c r="W14" s="49">
        <f t="shared" si="1"/>
        <v>90</v>
      </c>
      <c r="X14" s="125">
        <f t="shared" si="2"/>
        <v>180</v>
      </c>
      <c r="Y14" s="82">
        <f>X15</f>
        <v>0</v>
      </c>
      <c r="Z14" s="96">
        <f>X14-C14</f>
        <v>158</v>
      </c>
      <c r="AA14" s="97"/>
      <c r="AB14" s="97"/>
      <c r="AC14" s="97"/>
      <c r="AD14" s="97"/>
      <c r="AE14" s="98"/>
      <c r="AF14" s="116">
        <v>0</v>
      </c>
      <c r="AG14" s="15" t="s">
        <v>46</v>
      </c>
      <c r="AH14" s="16" t="s">
        <v>47</v>
      </c>
      <c r="AJ14" s="37"/>
      <c r="AK14" s="123"/>
    </row>
    <row r="15" spans="2:37" ht="15.6" thickTop="1" thickBot="1">
      <c r="B15" s="50" t="s">
        <v>91</v>
      </c>
      <c r="C15" s="56"/>
      <c r="D15" s="49">
        <f>MAX(0,2+D$7+(D$8&lt;=$C14)+(D$8&lt;=MAX($C14-18,0))+(D$8&lt;=MAX($C14-36,0))-D14)*NOT(ISBLANK($C14))</f>
        <v>0</v>
      </c>
      <c r="E15" s="49">
        <f t="shared" ref="E15:L15" si="7">MAX(0,2+E$7+(E$8&lt;=$C14)+(E$8&lt;=MAX($C14-18,0))+(E$8&lt;=MAX($C14-36,0))-E14)*NOT(ISBLANK($C14))</f>
        <v>0</v>
      </c>
      <c r="F15" s="49">
        <f t="shared" si="7"/>
        <v>0</v>
      </c>
      <c r="G15" s="49">
        <f t="shared" si="7"/>
        <v>0</v>
      </c>
      <c r="H15" s="49">
        <f t="shared" si="7"/>
        <v>0</v>
      </c>
      <c r="I15" s="49">
        <f t="shared" si="7"/>
        <v>0</v>
      </c>
      <c r="J15" s="49">
        <f t="shared" si="7"/>
        <v>0</v>
      </c>
      <c r="K15" s="49">
        <f t="shared" si="7"/>
        <v>0</v>
      </c>
      <c r="L15" s="49">
        <f t="shared" si="7"/>
        <v>0</v>
      </c>
      <c r="M15" s="49">
        <f t="shared" si="0"/>
        <v>0</v>
      </c>
      <c r="N15" s="49">
        <f t="shared" ref="N15:V15" si="8">MAX(0,2+N$7+(N$8&lt;=$C14)+(N$8&lt;=MAX($C14-18,0))+(N$8&lt;=MAX($C14-36,0))-N14)*NOT(ISBLANK($C14))</f>
        <v>0</v>
      </c>
      <c r="O15" s="49">
        <f t="shared" si="8"/>
        <v>0</v>
      </c>
      <c r="P15" s="49">
        <f t="shared" si="8"/>
        <v>0</v>
      </c>
      <c r="Q15" s="49">
        <f t="shared" si="8"/>
        <v>0</v>
      </c>
      <c r="R15" s="49">
        <f t="shared" si="8"/>
        <v>0</v>
      </c>
      <c r="S15" s="49">
        <f t="shared" si="8"/>
        <v>0</v>
      </c>
      <c r="T15" s="49">
        <f t="shared" si="8"/>
        <v>0</v>
      </c>
      <c r="U15" s="49">
        <f t="shared" si="8"/>
        <v>0</v>
      </c>
      <c r="V15" s="49">
        <f t="shared" si="8"/>
        <v>0</v>
      </c>
      <c r="W15" s="49">
        <f t="shared" si="1"/>
        <v>0</v>
      </c>
      <c r="X15" s="49">
        <f t="shared" si="2"/>
        <v>0</v>
      </c>
      <c r="Y15" s="82"/>
      <c r="Z15" s="93" cm="1">
        <f t="array" ref="Z15">_xlfn.IFS(
    AND(Z14 &gt;= 50, Z14 &lt;= 70), 70,
    AND(Z14 &gt;= 70, Z14 &lt;= 75), 50,
    AND(Z14 &gt;= 75, Z14 &lt;= 80), 40,
    AND(Z14 &gt;= 81, Z14 &lt;= 85), 35,
    AND(Z14 &gt;= 85, Z14 &lt;= 90), 30,
    AND(Z14 &gt;= 90, Z14 &lt;= 110), 25,
 AND(Z14 &gt;= 110),0
)</f>
        <v>0</v>
      </c>
      <c r="AA15" s="94">
        <f>SUMIF(D15:L15, "&gt;2")+SUMIF(N15:V15, "&gt;2")</f>
        <v>0</v>
      </c>
      <c r="AB15" s="128">
        <v>0</v>
      </c>
      <c r="AC15" s="128">
        <v>0</v>
      </c>
      <c r="AD15" s="128">
        <v>0</v>
      </c>
      <c r="AE15" s="95">
        <f>SUM(Z15:AD15)</f>
        <v>0</v>
      </c>
      <c r="AF15" s="116"/>
      <c r="AG15" s="9" t="s">
        <v>49</v>
      </c>
      <c r="AH15" s="10">
        <v>5</v>
      </c>
      <c r="AJ15" s="37"/>
      <c r="AK15" s="120"/>
    </row>
    <row r="16" spans="2:37" ht="15.6" thickTop="1" thickBot="1">
      <c r="B16" s="51" t="s">
        <v>11</v>
      </c>
      <c r="C16" s="57">
        <v>15</v>
      </c>
      <c r="D16" s="236">
        <v>10</v>
      </c>
      <c r="E16" s="236">
        <v>10</v>
      </c>
      <c r="F16" s="236">
        <v>10</v>
      </c>
      <c r="G16" s="236">
        <v>10</v>
      </c>
      <c r="H16" s="236">
        <v>10</v>
      </c>
      <c r="I16" s="236">
        <v>10</v>
      </c>
      <c r="J16" s="236">
        <v>10</v>
      </c>
      <c r="K16" s="236">
        <v>10</v>
      </c>
      <c r="L16" s="236">
        <v>10</v>
      </c>
      <c r="M16" s="52">
        <f t="shared" si="0"/>
        <v>90</v>
      </c>
      <c r="N16" s="236">
        <v>10</v>
      </c>
      <c r="O16" s="236">
        <v>10</v>
      </c>
      <c r="P16" s="236">
        <v>10</v>
      </c>
      <c r="Q16" s="236">
        <v>10</v>
      </c>
      <c r="R16" s="236">
        <v>10</v>
      </c>
      <c r="S16" s="236">
        <v>10</v>
      </c>
      <c r="T16" s="236">
        <v>10</v>
      </c>
      <c r="U16" s="236">
        <v>10</v>
      </c>
      <c r="V16" s="236">
        <v>10</v>
      </c>
      <c r="W16" s="52">
        <f t="shared" si="1"/>
        <v>90</v>
      </c>
      <c r="X16" s="124">
        <f t="shared" si="2"/>
        <v>180</v>
      </c>
      <c r="Y16" s="83">
        <f t="shared" ref="Y16" si="9">X17</f>
        <v>0</v>
      </c>
      <c r="Z16" s="90">
        <f>X16-C16</f>
        <v>165</v>
      </c>
      <c r="AA16" s="91"/>
      <c r="AB16" s="91"/>
      <c r="AC16" s="91"/>
      <c r="AD16" s="91"/>
      <c r="AE16" s="92"/>
      <c r="AF16" s="116">
        <v>0</v>
      </c>
      <c r="AG16" s="11" t="s">
        <v>51</v>
      </c>
      <c r="AH16" s="12">
        <v>5</v>
      </c>
    </row>
    <row r="17" spans="2:42" ht="15.6" thickTop="1" thickBot="1">
      <c r="B17" s="53" t="s">
        <v>91</v>
      </c>
      <c r="C17" s="57"/>
      <c r="D17" s="52">
        <f t="shared" ref="D17:L17" si="10">MAX(0,2+D$7+(D$8&lt;=$C16)+(D$8&lt;=MAX($C16-18,0))+(D$8&lt;=MAX($C16-36,0))-D16)*NOT(ISBLANK($C16))</f>
        <v>0</v>
      </c>
      <c r="E17" s="52">
        <f t="shared" si="10"/>
        <v>0</v>
      </c>
      <c r="F17" s="52">
        <f t="shared" si="10"/>
        <v>0</v>
      </c>
      <c r="G17" s="52">
        <f t="shared" si="10"/>
        <v>0</v>
      </c>
      <c r="H17" s="52">
        <f t="shared" si="10"/>
        <v>0</v>
      </c>
      <c r="I17" s="52">
        <f t="shared" si="10"/>
        <v>0</v>
      </c>
      <c r="J17" s="52">
        <f t="shared" si="10"/>
        <v>0</v>
      </c>
      <c r="K17" s="52">
        <f t="shared" si="10"/>
        <v>0</v>
      </c>
      <c r="L17" s="52">
        <f t="shared" si="10"/>
        <v>0</v>
      </c>
      <c r="M17" s="52">
        <f t="shared" si="0"/>
        <v>0</v>
      </c>
      <c r="N17" s="52">
        <f t="shared" ref="N17:V17" si="11">MAX(0,2+N$7+(N$8&lt;=$C16)+(N$8&lt;=MAX($C16-18,0))+(N$8&lt;=MAX($C16-36,0))-N16)*NOT(ISBLANK($C16))</f>
        <v>0</v>
      </c>
      <c r="O17" s="52">
        <f t="shared" si="11"/>
        <v>0</v>
      </c>
      <c r="P17" s="52">
        <f t="shared" si="11"/>
        <v>0</v>
      </c>
      <c r="Q17" s="52">
        <f t="shared" si="11"/>
        <v>0</v>
      </c>
      <c r="R17" s="52">
        <f t="shared" si="11"/>
        <v>0</v>
      </c>
      <c r="S17" s="52">
        <f t="shared" si="11"/>
        <v>0</v>
      </c>
      <c r="T17" s="52">
        <f t="shared" si="11"/>
        <v>0</v>
      </c>
      <c r="U17" s="52">
        <f t="shared" si="11"/>
        <v>0</v>
      </c>
      <c r="V17" s="52">
        <f t="shared" si="11"/>
        <v>0</v>
      </c>
      <c r="W17" s="52">
        <f t="shared" si="1"/>
        <v>0</v>
      </c>
      <c r="X17" s="52">
        <f t="shared" si="2"/>
        <v>0</v>
      </c>
      <c r="Y17" s="83"/>
      <c r="Z17" s="87" cm="1">
        <f t="array" ref="Z17">_xlfn.IFS(
    AND(Z16 &gt;= 50, Z16 &lt;= 70), 70,
    AND(Z16 &gt;= 70, Z16 &lt;= 75), 50,
    AND(Z16 &gt;= 75, Z16 &lt;= 80), 40,
    AND(Z16 &gt;= 81, Z16 &lt;= 85), 35,
    AND(Z16 &gt;= 85, Z16 &lt;= 90), 30,
    AND(Z16 &gt;= 90, Z16 &lt;= 110), 25,
 AND(Z16 &gt;= 110),0
)</f>
        <v>0</v>
      </c>
      <c r="AA17" s="88">
        <f>SUMIF(D17:L17, "&gt;2")+SUMIF(N17:V17, "&gt;2")</f>
        <v>0</v>
      </c>
      <c r="AB17" s="128">
        <v>0</v>
      </c>
      <c r="AC17" s="128">
        <v>0</v>
      </c>
      <c r="AD17" s="128">
        <v>0</v>
      </c>
      <c r="AE17" s="89">
        <f>SUM(Z17:AD17)</f>
        <v>0</v>
      </c>
      <c r="AF17" s="116"/>
      <c r="AG17" s="17" t="s">
        <v>4</v>
      </c>
      <c r="AH17" s="18">
        <v>10</v>
      </c>
    </row>
    <row r="18" spans="2:42" ht="15" thickTop="1"/>
    <row r="20" spans="2:42" ht="15" thickBot="1">
      <c r="C20" s="2"/>
      <c r="O20" s="8"/>
    </row>
    <row r="21" spans="2:42" ht="15.6" thickTop="1" thickBot="1">
      <c r="B21" s="78" t="s">
        <v>92</v>
      </c>
      <c r="C21" s="46">
        <v>70</v>
      </c>
      <c r="O21" s="8"/>
    </row>
    <row r="22" spans="2:42" ht="15.6" thickTop="1" thickBot="1">
      <c r="B22" s="78" t="s">
        <v>93</v>
      </c>
      <c r="C22" s="46">
        <v>129</v>
      </c>
      <c r="O22" s="8"/>
    </row>
    <row r="23" spans="2:42" ht="15.6" thickTop="1" thickBot="1">
      <c r="B23" s="78" t="s">
        <v>88</v>
      </c>
      <c r="C23" s="46">
        <v>71</v>
      </c>
      <c r="O23" s="8"/>
    </row>
    <row r="24" spans="2:42" ht="15" thickTop="1">
      <c r="O24" s="8"/>
    </row>
    <row r="25" spans="2:42">
      <c r="O25" s="8"/>
    </row>
    <row r="26" spans="2:42">
      <c r="O26" s="8"/>
    </row>
    <row r="27" spans="2:42">
      <c r="O27" s="8"/>
    </row>
    <row r="28" spans="2:42" ht="15" thickBot="1">
      <c r="O28" s="8"/>
    </row>
    <row r="29" spans="2:42" ht="21.95" thickTop="1" thickBot="1">
      <c r="AK29" s="271" t="s">
        <v>58</v>
      </c>
      <c r="AL29" s="272"/>
      <c r="AM29" s="272"/>
      <c r="AN29" s="272"/>
      <c r="AO29" s="272"/>
      <c r="AP29" s="273"/>
    </row>
    <row r="30" spans="2:42" ht="16.5" thickTop="1" thickBot="1">
      <c r="AK30" s="129" t="s">
        <v>19</v>
      </c>
      <c r="AL30" s="156" t="s">
        <v>20</v>
      </c>
      <c r="AM30" s="157" t="s">
        <v>13</v>
      </c>
      <c r="AN30" s="156" t="s">
        <v>14</v>
      </c>
      <c r="AO30" s="156" t="s">
        <v>12</v>
      </c>
      <c r="AP30" s="156" t="s">
        <v>11</v>
      </c>
    </row>
    <row r="31" spans="2:42" ht="15.6" thickTop="1" thickBot="1">
      <c r="AK31" s="24" t="s">
        <v>28</v>
      </c>
      <c r="AL31" s="24" t="s">
        <v>29</v>
      </c>
      <c r="AM31" s="158"/>
      <c r="AN31" s="158"/>
      <c r="AO31" s="158"/>
      <c r="AP31" s="159"/>
    </row>
    <row r="32" spans="2:42" ht="15.6" thickTop="1" thickBot="1">
      <c r="AK32" s="25" t="s">
        <v>33</v>
      </c>
      <c r="AL32" s="25" t="s">
        <v>34</v>
      </c>
      <c r="AM32" s="160"/>
      <c r="AN32" s="160"/>
      <c r="AO32" s="160"/>
      <c r="AP32" s="161"/>
    </row>
    <row r="33" spans="37:42" ht="15.6" thickTop="1" thickBot="1">
      <c r="AK33" s="26" t="s">
        <v>38</v>
      </c>
      <c r="AL33" s="26" t="s">
        <v>39</v>
      </c>
      <c r="AM33" s="162"/>
      <c r="AN33" s="162"/>
      <c r="AO33" s="162"/>
      <c r="AP33" s="163"/>
    </row>
    <row r="34" spans="37:42" ht="15.6" thickTop="1" thickBot="1">
      <c r="AK34" s="27" t="s">
        <v>41</v>
      </c>
      <c r="AL34" s="27" t="s">
        <v>59</v>
      </c>
      <c r="AM34" s="164">
        <v>13.193612203923683</v>
      </c>
      <c r="AN34" s="164">
        <v>16.67398703777819</v>
      </c>
      <c r="AO34" s="164">
        <v>21.614828893236037</v>
      </c>
      <c r="AP34" s="165">
        <v>15.078311711419413</v>
      </c>
    </row>
    <row r="35" spans="37:42" ht="15" thickTop="1"/>
    <row r="36" spans="37:42">
      <c r="AM36" s="267"/>
    </row>
  </sheetData>
  <mergeCells count="3">
    <mergeCell ref="C4:AE4"/>
    <mergeCell ref="C5:AE5"/>
    <mergeCell ref="AK29:AP29"/>
  </mergeCells>
  <conditionalFormatting sqref="D11:V11">
    <cfRule type="cellIs" dxfId="17" priority="2" operator="between">
      <formula>3</formula>
      <formula>5</formula>
    </cfRule>
  </conditionalFormatting>
  <conditionalFormatting sqref="D13:V13 D15:V15 D17:V17">
    <cfRule type="cellIs" dxfId="16" priority="1" operator="between">
      <formula>3</formula>
      <formula>5</formula>
    </cfRule>
  </conditionalFormatting>
  <pageMargins left="0.7" right="0.7" top="0.75" bottom="0.75" header="0.3" footer="0.3"/>
  <headerFooter>
    <oddFooter>&amp;C_x000D_&amp;1#&amp;"Calibri"&amp;10&amp;K000000 OFFICIAL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7991-7A35-4559-A231-6781810C886A}">
  <dimension ref="B3:AK28"/>
  <sheetViews>
    <sheetView showGridLines="0" zoomScale="99" workbookViewId="0">
      <selection activeCell="Y51" sqref="Y51"/>
    </sheetView>
  </sheetViews>
  <sheetFormatPr defaultColWidth="8.85546875" defaultRowHeight="14.45"/>
  <cols>
    <col min="1" max="1" width="8.85546875" style="5"/>
    <col min="2" max="2" width="13.42578125" style="1" customWidth="1"/>
    <col min="3" max="3" width="7.140625" style="1" customWidth="1"/>
    <col min="4" max="5" width="5.42578125" style="4" customWidth="1"/>
    <col min="6" max="6" width="5.7109375" style="4" customWidth="1"/>
    <col min="7" max="7" width="5.85546875" style="4" customWidth="1"/>
    <col min="8" max="8" width="5.42578125" style="4" customWidth="1"/>
    <col min="9" max="9" width="6" style="4" customWidth="1"/>
    <col min="10" max="10" width="5.7109375" style="4" customWidth="1"/>
    <col min="11" max="11" width="6" style="4" customWidth="1"/>
    <col min="12" max="12" width="5.42578125" style="4" customWidth="1"/>
    <col min="13" max="13" width="6.85546875" style="3" customWidth="1"/>
    <col min="14" max="14" width="6" style="4" customWidth="1"/>
    <col min="15" max="15" width="5.85546875" style="4" customWidth="1"/>
    <col min="16" max="16" width="6.140625" style="4" customWidth="1"/>
    <col min="17" max="19" width="5.42578125" style="4" customWidth="1"/>
    <col min="20" max="20" width="5.28515625" style="4" customWidth="1"/>
    <col min="21" max="21" width="5.140625" style="4" customWidth="1"/>
    <col min="22" max="22" width="5.42578125" style="4" customWidth="1"/>
    <col min="23" max="23" width="7.28515625" style="3" customWidth="1"/>
    <col min="24" max="24" width="5.7109375" style="3" customWidth="1"/>
    <col min="25" max="25" width="6.5703125" style="3" customWidth="1"/>
    <col min="26" max="32" width="8.85546875" style="5"/>
    <col min="33" max="33" width="9.7109375" style="5" bestFit="1" customWidth="1"/>
    <col min="34" max="34" width="11.42578125" style="5" bestFit="1" customWidth="1"/>
    <col min="35" max="35" width="8.85546875" style="5"/>
    <col min="36" max="36" width="7.28515625" style="5" customWidth="1"/>
    <col min="37" max="37" width="13.85546875" style="5" bestFit="1" customWidth="1"/>
    <col min="38" max="16384" width="8.85546875" style="5"/>
  </cols>
  <sheetData>
    <row r="3" spans="2:37" ht="15" thickBot="1"/>
    <row r="4" spans="2:37" ht="15.6" thickTop="1" thickBot="1">
      <c r="C4" s="268" t="s">
        <v>82</v>
      </c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69"/>
    </row>
    <row r="5" spans="2:37" ht="15.6" thickTop="1" thickBot="1">
      <c r="C5" s="268" t="s">
        <v>83</v>
      </c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70"/>
      <c r="AA5" s="270"/>
      <c r="AB5" s="270"/>
      <c r="AC5" s="270"/>
      <c r="AD5" s="270"/>
      <c r="AE5" s="270"/>
    </row>
    <row r="6" spans="2:37" s="1" customFormat="1" ht="15.6" thickTop="1" thickBot="1">
      <c r="C6" s="38" t="s">
        <v>84</v>
      </c>
      <c r="D6" s="39">
        <v>1</v>
      </c>
      <c r="E6" s="39">
        <v>2</v>
      </c>
      <c r="F6" s="39">
        <v>3</v>
      </c>
      <c r="G6" s="39">
        <v>4</v>
      </c>
      <c r="H6" s="39">
        <v>5</v>
      </c>
      <c r="I6" s="39">
        <v>6</v>
      </c>
      <c r="J6" s="39">
        <v>7</v>
      </c>
      <c r="K6" s="39">
        <v>8</v>
      </c>
      <c r="L6" s="39">
        <v>9</v>
      </c>
      <c r="M6" s="39" t="s">
        <v>85</v>
      </c>
      <c r="N6" s="39">
        <v>10</v>
      </c>
      <c r="O6" s="39">
        <v>11</v>
      </c>
      <c r="P6" s="39">
        <v>12</v>
      </c>
      <c r="Q6" s="39">
        <v>13</v>
      </c>
      <c r="R6" s="39">
        <v>14</v>
      </c>
      <c r="S6" s="39">
        <v>15</v>
      </c>
      <c r="T6" s="39">
        <v>16</v>
      </c>
      <c r="U6" s="39">
        <v>17</v>
      </c>
      <c r="V6" s="39">
        <v>18</v>
      </c>
      <c r="W6" s="39" t="s">
        <v>86</v>
      </c>
      <c r="X6" s="39" t="s">
        <v>7</v>
      </c>
      <c r="Y6" s="78" t="s">
        <v>87</v>
      </c>
      <c r="Z6" s="84" t="s">
        <v>2</v>
      </c>
      <c r="AA6" s="85" t="s">
        <v>3</v>
      </c>
      <c r="AB6" s="85" t="s">
        <v>4</v>
      </c>
      <c r="AC6" s="85" t="s">
        <v>5</v>
      </c>
      <c r="AD6" s="85" t="s">
        <v>6</v>
      </c>
      <c r="AE6" s="86" t="s">
        <v>7</v>
      </c>
      <c r="AF6" s="86" t="s">
        <v>9</v>
      </c>
    </row>
    <row r="7" spans="2:37" s="1" customFormat="1" ht="15.6" thickTop="1" thickBot="1">
      <c r="C7" s="38" t="s">
        <v>88</v>
      </c>
      <c r="D7" s="39">
        <v>4</v>
      </c>
      <c r="E7" s="39">
        <v>5</v>
      </c>
      <c r="F7" s="39">
        <v>4</v>
      </c>
      <c r="G7" s="39">
        <v>3</v>
      </c>
      <c r="H7" s="39">
        <v>4</v>
      </c>
      <c r="I7" s="39">
        <v>4</v>
      </c>
      <c r="J7" s="39">
        <v>3</v>
      </c>
      <c r="K7" s="39">
        <v>5</v>
      </c>
      <c r="L7" s="39">
        <v>4</v>
      </c>
      <c r="M7" s="39">
        <f>SUM(D7:L7)</f>
        <v>36</v>
      </c>
      <c r="N7" s="39">
        <v>5</v>
      </c>
      <c r="O7" s="39">
        <v>4</v>
      </c>
      <c r="P7" s="39">
        <v>3</v>
      </c>
      <c r="Q7" s="39">
        <v>4</v>
      </c>
      <c r="R7" s="39">
        <v>4</v>
      </c>
      <c r="S7" s="39">
        <v>3</v>
      </c>
      <c r="T7" s="39">
        <v>4</v>
      </c>
      <c r="U7" s="39">
        <v>4</v>
      </c>
      <c r="V7" s="39">
        <v>5</v>
      </c>
      <c r="W7" s="39">
        <f>SUM(N7:V7)</f>
        <v>36</v>
      </c>
      <c r="X7" s="39">
        <f>M7+W7</f>
        <v>72</v>
      </c>
      <c r="Y7" s="78"/>
      <c r="Z7" s="111"/>
      <c r="AA7" s="112" t="s">
        <v>18</v>
      </c>
      <c r="AB7" s="112" t="s">
        <v>18</v>
      </c>
      <c r="AC7" s="112" t="s">
        <v>18</v>
      </c>
      <c r="AD7" s="112" t="s">
        <v>18</v>
      </c>
      <c r="AE7" s="113" t="s">
        <v>18</v>
      </c>
      <c r="AF7" s="86"/>
      <c r="AG7" s="6" t="s">
        <v>17</v>
      </c>
      <c r="AH7" s="7" t="s">
        <v>18</v>
      </c>
      <c r="AJ7" s="121"/>
      <c r="AK7" s="121"/>
    </row>
    <row r="8" spans="2:37" s="1" customFormat="1" ht="15.6" thickTop="1" thickBot="1">
      <c r="C8" s="38" t="s">
        <v>89</v>
      </c>
      <c r="D8" s="39">
        <v>5</v>
      </c>
      <c r="E8" s="39">
        <v>9</v>
      </c>
      <c r="F8" s="39">
        <v>3</v>
      </c>
      <c r="G8" s="39">
        <v>14</v>
      </c>
      <c r="H8" s="39">
        <v>11</v>
      </c>
      <c r="I8" s="39">
        <v>15</v>
      </c>
      <c r="J8" s="39">
        <v>18</v>
      </c>
      <c r="K8" s="39">
        <v>13</v>
      </c>
      <c r="L8" s="39">
        <v>1</v>
      </c>
      <c r="M8" s="39"/>
      <c r="N8" s="39">
        <v>12</v>
      </c>
      <c r="O8" s="39">
        <v>10</v>
      </c>
      <c r="P8" s="39">
        <v>16</v>
      </c>
      <c r="Q8" s="39">
        <v>8</v>
      </c>
      <c r="R8" s="39">
        <v>2</v>
      </c>
      <c r="S8" s="39">
        <v>17</v>
      </c>
      <c r="T8" s="39">
        <v>6</v>
      </c>
      <c r="U8" s="39">
        <v>7</v>
      </c>
      <c r="V8" s="39">
        <v>4</v>
      </c>
      <c r="W8" s="39"/>
      <c r="X8" s="39"/>
      <c r="Y8" s="78"/>
      <c r="Z8" s="114"/>
      <c r="AA8" s="115"/>
      <c r="AB8" s="115"/>
      <c r="AC8" s="115"/>
      <c r="AD8" s="115"/>
      <c r="AE8" s="116"/>
      <c r="AF8" s="116"/>
      <c r="AG8" s="9" t="s">
        <v>27</v>
      </c>
      <c r="AH8" s="10">
        <v>70</v>
      </c>
      <c r="AJ8" s="122"/>
      <c r="AK8" s="123"/>
    </row>
    <row r="9" spans="2:37" ht="15.6" thickTop="1" thickBot="1">
      <c r="C9" s="40" t="s">
        <v>90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79"/>
      <c r="Z9" s="111"/>
      <c r="AA9" s="112"/>
      <c r="AB9" s="112"/>
      <c r="AC9" s="112"/>
      <c r="AD9" s="112"/>
      <c r="AE9" s="113"/>
      <c r="AF9" s="116"/>
      <c r="AG9" s="11" t="s">
        <v>32</v>
      </c>
      <c r="AH9" s="12">
        <v>50</v>
      </c>
      <c r="AJ9" s="122"/>
      <c r="AK9" s="117"/>
    </row>
    <row r="10" spans="2:37" ht="15.6" thickTop="1" thickBot="1">
      <c r="B10" s="42" t="s">
        <v>13</v>
      </c>
      <c r="C10" s="54">
        <v>15</v>
      </c>
      <c r="D10" s="43">
        <v>10</v>
      </c>
      <c r="E10" s="43">
        <v>10</v>
      </c>
      <c r="F10" s="43">
        <v>10</v>
      </c>
      <c r="G10" s="43">
        <v>10</v>
      </c>
      <c r="H10" s="43">
        <v>10</v>
      </c>
      <c r="I10" s="43">
        <v>10</v>
      </c>
      <c r="J10" s="43">
        <v>10</v>
      </c>
      <c r="K10" s="43">
        <v>10</v>
      </c>
      <c r="L10" s="43">
        <v>10</v>
      </c>
      <c r="M10" s="43">
        <f t="shared" ref="M10:M17" si="0">SUM(D10:L10)</f>
        <v>90</v>
      </c>
      <c r="N10" s="43">
        <v>10</v>
      </c>
      <c r="O10" s="43">
        <v>10</v>
      </c>
      <c r="P10" s="43">
        <v>10</v>
      </c>
      <c r="Q10" s="43">
        <v>10</v>
      </c>
      <c r="R10" s="43">
        <v>10</v>
      </c>
      <c r="S10" s="43">
        <v>10</v>
      </c>
      <c r="T10" s="43">
        <v>10</v>
      </c>
      <c r="U10" s="43">
        <v>10</v>
      </c>
      <c r="V10" s="43">
        <v>10</v>
      </c>
      <c r="W10" s="43">
        <f t="shared" ref="W10:W17" si="1">SUM(N10:V10)</f>
        <v>90</v>
      </c>
      <c r="X10" s="127">
        <f t="shared" ref="X10:X17" si="2">+M10+W10</f>
        <v>180</v>
      </c>
      <c r="Y10" s="80">
        <f>X11</f>
        <v>0</v>
      </c>
      <c r="Z10" s="108">
        <f>X10-C10</f>
        <v>165</v>
      </c>
      <c r="AA10" s="109"/>
      <c r="AB10" s="109"/>
      <c r="AC10" s="109"/>
      <c r="AD10" s="109"/>
      <c r="AE10" s="110"/>
      <c r="AF10" s="116">
        <v>0</v>
      </c>
      <c r="AG10" s="11" t="s">
        <v>37</v>
      </c>
      <c r="AH10" s="12">
        <v>40</v>
      </c>
      <c r="AJ10" s="35"/>
      <c r="AK10" s="123"/>
    </row>
    <row r="11" spans="2:37" ht="15.6" thickTop="1" thickBot="1">
      <c r="B11" s="44" t="s">
        <v>91</v>
      </c>
      <c r="C11" s="54"/>
      <c r="D11" s="43">
        <f>MAX(0,2+D$7+(D$8&lt;=$C10)+(D$8&lt;=MAX($C10-18,0))+(D$8&lt;=MAX($C10-36,0))-D10)*NOT(ISBLANK($C10))</f>
        <v>0</v>
      </c>
      <c r="E11" s="43">
        <f t="shared" ref="E11:L11" si="3">MAX(0,2+E$7+(E$8&lt;=$C10)+(E$8&lt;=MAX($C10-18,0))+(E$8&lt;=MAX($C10-36,0))-E10)*NOT(ISBLANK($C10))</f>
        <v>0</v>
      </c>
      <c r="F11" s="43">
        <f t="shared" si="3"/>
        <v>0</v>
      </c>
      <c r="G11" s="43">
        <f t="shared" si="3"/>
        <v>0</v>
      </c>
      <c r="H11" s="43">
        <f t="shared" si="3"/>
        <v>0</v>
      </c>
      <c r="I11" s="43">
        <f t="shared" si="3"/>
        <v>0</v>
      </c>
      <c r="J11" s="43">
        <f t="shared" si="3"/>
        <v>0</v>
      </c>
      <c r="K11" s="43">
        <f t="shared" si="3"/>
        <v>0</v>
      </c>
      <c r="L11" s="43">
        <f t="shared" si="3"/>
        <v>0</v>
      </c>
      <c r="M11" s="43">
        <f t="shared" si="0"/>
        <v>0</v>
      </c>
      <c r="N11" s="43">
        <f t="shared" ref="N11:V11" si="4">MAX(0,2+N$7+(N$8&lt;=$C10)+(N$8&lt;=MAX($C10-18,0))+(N$8&lt;=MAX($C10-36,0))-N10)*NOT(ISBLANK($C10))</f>
        <v>0</v>
      </c>
      <c r="O11" s="43">
        <f t="shared" si="4"/>
        <v>0</v>
      </c>
      <c r="P11" s="43">
        <f t="shared" si="4"/>
        <v>0</v>
      </c>
      <c r="Q11" s="43">
        <f t="shared" si="4"/>
        <v>0</v>
      </c>
      <c r="R11" s="43">
        <f t="shared" si="4"/>
        <v>0</v>
      </c>
      <c r="S11" s="43">
        <f t="shared" si="4"/>
        <v>0</v>
      </c>
      <c r="T11" s="43">
        <f t="shared" si="4"/>
        <v>0</v>
      </c>
      <c r="U11" s="43">
        <f t="shared" si="4"/>
        <v>0</v>
      </c>
      <c r="V11" s="43">
        <f t="shared" si="4"/>
        <v>0</v>
      </c>
      <c r="W11" s="43">
        <f t="shared" si="1"/>
        <v>0</v>
      </c>
      <c r="X11" s="43">
        <f t="shared" si="2"/>
        <v>0</v>
      </c>
      <c r="Y11" s="80"/>
      <c r="Z11" s="105" cm="1">
        <f t="array" ref="Z11">_xlfn.IFS(
    AND(Z10 &gt;= 50, Z10 &lt;= 70), 70,
    AND(Z10 &gt;= 70, Z10 &lt;= 75), 50,
    AND(Z10 &gt;= 75, Z10 &lt;= 80), 40,
    AND(Z10 &gt;= 81, Z10 &lt;= 85), 35,
    AND(Z10 &gt;= 85, Z10 &lt;= 90), 30,
    AND(Z10 &gt;= 90, Z10 &lt;= 110), 25,
 AND(Z10 &gt;= 110),0
)</f>
        <v>0</v>
      </c>
      <c r="AA11" s="106">
        <f>SUMIF(D11:L11, "&gt;2")+SUMIF(N11:V11, "&gt;2")</f>
        <v>0</v>
      </c>
      <c r="AB11" s="128">
        <v>0</v>
      </c>
      <c r="AC11" s="128">
        <v>0</v>
      </c>
      <c r="AD11" s="128">
        <v>0</v>
      </c>
      <c r="AE11" s="107">
        <f>SUM(Z11:AD11)</f>
        <v>0</v>
      </c>
      <c r="AF11" s="116"/>
      <c r="AG11" s="11" t="s">
        <v>40</v>
      </c>
      <c r="AH11" s="12">
        <v>35</v>
      </c>
      <c r="AJ11" s="35"/>
      <c r="AK11" s="118"/>
    </row>
    <row r="12" spans="2:37" ht="15.6" thickTop="1" thickBot="1">
      <c r="B12" s="45" t="s">
        <v>14</v>
      </c>
      <c r="C12" s="55">
        <v>20</v>
      </c>
      <c r="D12" s="234">
        <v>10</v>
      </c>
      <c r="E12" s="234">
        <v>10</v>
      </c>
      <c r="F12" s="234">
        <v>10</v>
      </c>
      <c r="G12" s="234">
        <v>10</v>
      </c>
      <c r="H12" s="234">
        <v>10</v>
      </c>
      <c r="I12" s="234">
        <v>10</v>
      </c>
      <c r="J12" s="234">
        <v>10</v>
      </c>
      <c r="K12" s="234">
        <v>10</v>
      </c>
      <c r="L12" s="234">
        <v>10</v>
      </c>
      <c r="M12" s="46">
        <f t="shared" si="0"/>
        <v>90</v>
      </c>
      <c r="N12" s="234">
        <v>10</v>
      </c>
      <c r="O12" s="234">
        <v>10</v>
      </c>
      <c r="P12" s="234">
        <v>10</v>
      </c>
      <c r="Q12" s="234">
        <v>10</v>
      </c>
      <c r="R12" s="234">
        <v>10</v>
      </c>
      <c r="S12" s="234">
        <v>10</v>
      </c>
      <c r="T12" s="234">
        <v>10</v>
      </c>
      <c r="U12" s="234">
        <v>10</v>
      </c>
      <c r="V12" s="234">
        <v>10</v>
      </c>
      <c r="W12" s="46">
        <f t="shared" si="1"/>
        <v>90</v>
      </c>
      <c r="X12" s="126">
        <f t="shared" si="2"/>
        <v>180</v>
      </c>
      <c r="Y12" s="81">
        <f>X13</f>
        <v>0</v>
      </c>
      <c r="Z12" s="102">
        <f>X12-C12</f>
        <v>160</v>
      </c>
      <c r="AA12" s="103"/>
      <c r="AB12" s="103"/>
      <c r="AC12" s="103"/>
      <c r="AD12" s="103"/>
      <c r="AE12" s="104"/>
      <c r="AF12" s="116">
        <v>0</v>
      </c>
      <c r="AG12" s="11" t="s">
        <v>42</v>
      </c>
      <c r="AH12" s="12">
        <v>30</v>
      </c>
      <c r="AJ12" s="36"/>
      <c r="AK12" s="123"/>
    </row>
    <row r="13" spans="2:37" ht="15.6" thickTop="1" thickBot="1">
      <c r="B13" s="47" t="s">
        <v>91</v>
      </c>
      <c r="C13" s="55"/>
      <c r="D13" s="46">
        <f>MAX(0,2+D$7+(D$8&lt;=$C12)+(D$8&lt;=MAX($C12-18,0))+(D$8&lt;=MAX($C12-36,0))-D12)*NOT(ISBLANK($C12))</f>
        <v>0</v>
      </c>
      <c r="E13" s="46">
        <f t="shared" ref="E13:L13" si="5">MAX(0,2+E$7+(E$8&lt;=$C12)+(E$8&lt;=MAX($C12-18,0))+(E$8&lt;=MAX($C12-36,0))-E12)*NOT(ISBLANK($C12))</f>
        <v>0</v>
      </c>
      <c r="F13" s="46">
        <f t="shared" si="5"/>
        <v>0</v>
      </c>
      <c r="G13" s="46">
        <f t="shared" si="5"/>
        <v>0</v>
      </c>
      <c r="H13" s="46">
        <f t="shared" si="5"/>
        <v>0</v>
      </c>
      <c r="I13" s="46">
        <f t="shared" si="5"/>
        <v>0</v>
      </c>
      <c r="J13" s="46">
        <f t="shared" si="5"/>
        <v>0</v>
      </c>
      <c r="K13" s="46">
        <f t="shared" si="5"/>
        <v>0</v>
      </c>
      <c r="L13" s="46">
        <f t="shared" si="5"/>
        <v>0</v>
      </c>
      <c r="M13" s="46">
        <f t="shared" si="0"/>
        <v>0</v>
      </c>
      <c r="N13" s="46">
        <f t="shared" ref="N13:V13" si="6">MAX(0,2+N$7+(N$8&lt;=$C12)+(N$8&lt;=MAX($C12-18,0))+(N$8&lt;=MAX($C12-36,0))-N12)*NOT(ISBLANK($C12))</f>
        <v>0</v>
      </c>
      <c r="O13" s="46">
        <f t="shared" si="6"/>
        <v>0</v>
      </c>
      <c r="P13" s="46">
        <f t="shared" si="6"/>
        <v>0</v>
      </c>
      <c r="Q13" s="46">
        <f t="shared" si="6"/>
        <v>0</v>
      </c>
      <c r="R13" s="46">
        <f t="shared" si="6"/>
        <v>0</v>
      </c>
      <c r="S13" s="46">
        <f t="shared" si="6"/>
        <v>0</v>
      </c>
      <c r="T13" s="46">
        <f t="shared" si="6"/>
        <v>0</v>
      </c>
      <c r="U13" s="46">
        <f t="shared" si="6"/>
        <v>0</v>
      </c>
      <c r="V13" s="46">
        <f t="shared" si="6"/>
        <v>0</v>
      </c>
      <c r="W13" s="46">
        <f t="shared" si="1"/>
        <v>0</v>
      </c>
      <c r="X13" s="46">
        <f t="shared" si="2"/>
        <v>0</v>
      </c>
      <c r="Y13" s="81"/>
      <c r="Z13" s="99" cm="1">
        <f t="array" ref="Z13">_xlfn.IFS(
    AND(Z12 &gt;= 50, Z12 &lt;= 70), 70,
    AND(Z12 &gt;= 70, Z12 &lt;= 75), 50,
    AND(Z12 &gt;= 75, Z12 &lt;= 80), 40,
    AND(Z12 &gt;= 81, Z12 &lt;= 85), 35,
    AND(Z12 &gt;= 85, Z12 &lt;= 90), 30,
    AND(Z12 &gt;= 90, Z12 &lt;= 110), 25,
 AND(Z12 &gt;= 110),0
)</f>
        <v>0</v>
      </c>
      <c r="AA13" s="100">
        <f>SUMIF(D13:L13, "&gt;2")+SUMIF(N13:V13, "&gt;2")</f>
        <v>0</v>
      </c>
      <c r="AB13" s="128">
        <v>0</v>
      </c>
      <c r="AC13" s="128">
        <v>0</v>
      </c>
      <c r="AD13" s="128">
        <v>0</v>
      </c>
      <c r="AE13" s="101">
        <f>SUM(Z13:AD13)</f>
        <v>0</v>
      </c>
      <c r="AF13" s="116"/>
      <c r="AG13" s="13" t="s">
        <v>44</v>
      </c>
      <c r="AH13" s="14">
        <v>25</v>
      </c>
      <c r="AJ13" s="36"/>
      <c r="AK13" s="119"/>
    </row>
    <row r="14" spans="2:37" ht="15.6" thickTop="1" thickBot="1">
      <c r="B14" s="48" t="s">
        <v>12</v>
      </c>
      <c r="C14" s="56">
        <v>25</v>
      </c>
      <c r="D14" s="235">
        <v>10</v>
      </c>
      <c r="E14" s="235">
        <v>10</v>
      </c>
      <c r="F14" s="235">
        <v>10</v>
      </c>
      <c r="G14" s="235">
        <v>10</v>
      </c>
      <c r="H14" s="235">
        <v>10</v>
      </c>
      <c r="I14" s="235">
        <v>10</v>
      </c>
      <c r="J14" s="235">
        <v>10</v>
      </c>
      <c r="K14" s="235">
        <v>10</v>
      </c>
      <c r="L14" s="235">
        <v>10</v>
      </c>
      <c r="M14" s="49">
        <f t="shared" si="0"/>
        <v>90</v>
      </c>
      <c r="N14" s="235">
        <v>10</v>
      </c>
      <c r="O14" s="235">
        <v>10</v>
      </c>
      <c r="P14" s="235">
        <v>10</v>
      </c>
      <c r="Q14" s="235">
        <v>10</v>
      </c>
      <c r="R14" s="235">
        <v>10</v>
      </c>
      <c r="S14" s="235">
        <v>10</v>
      </c>
      <c r="T14" s="235">
        <v>10</v>
      </c>
      <c r="U14" s="235">
        <v>10</v>
      </c>
      <c r="V14" s="235">
        <v>10</v>
      </c>
      <c r="W14" s="49">
        <f t="shared" si="1"/>
        <v>90</v>
      </c>
      <c r="X14" s="125">
        <f t="shared" si="2"/>
        <v>180</v>
      </c>
      <c r="Y14" s="82">
        <f>X15</f>
        <v>0</v>
      </c>
      <c r="Z14" s="96">
        <f>X14-C14</f>
        <v>155</v>
      </c>
      <c r="AA14" s="97"/>
      <c r="AB14" s="97"/>
      <c r="AC14" s="97"/>
      <c r="AD14" s="97"/>
      <c r="AE14" s="98"/>
      <c r="AF14" s="116">
        <v>0</v>
      </c>
      <c r="AG14" s="15" t="s">
        <v>46</v>
      </c>
      <c r="AH14" s="16" t="s">
        <v>47</v>
      </c>
      <c r="AJ14" s="37"/>
      <c r="AK14" s="123"/>
    </row>
    <row r="15" spans="2:37" ht="15.6" thickTop="1" thickBot="1">
      <c r="B15" s="50" t="s">
        <v>91</v>
      </c>
      <c r="C15" s="56"/>
      <c r="D15" s="49">
        <f>MAX(0,2+D$7+(D$8&lt;=$C14)+(D$8&lt;=MAX($C14-18,0))+(D$8&lt;=MAX($C14-36,0))-D14)*NOT(ISBLANK($C14))</f>
        <v>0</v>
      </c>
      <c r="E15" s="49">
        <f t="shared" ref="E15:L15" si="7">MAX(0,2+E$7+(E$8&lt;=$C14)+(E$8&lt;=MAX($C14-18,0))+(E$8&lt;=MAX($C14-36,0))-E14)*NOT(ISBLANK($C14))</f>
        <v>0</v>
      </c>
      <c r="F15" s="49">
        <f t="shared" si="7"/>
        <v>0</v>
      </c>
      <c r="G15" s="49">
        <f t="shared" si="7"/>
        <v>0</v>
      </c>
      <c r="H15" s="49">
        <f t="shared" si="7"/>
        <v>0</v>
      </c>
      <c r="I15" s="49">
        <f t="shared" si="7"/>
        <v>0</v>
      </c>
      <c r="J15" s="49">
        <f t="shared" si="7"/>
        <v>0</v>
      </c>
      <c r="K15" s="49">
        <f t="shared" si="7"/>
        <v>0</v>
      </c>
      <c r="L15" s="49">
        <f t="shared" si="7"/>
        <v>0</v>
      </c>
      <c r="M15" s="49">
        <f t="shared" si="0"/>
        <v>0</v>
      </c>
      <c r="N15" s="49">
        <f t="shared" ref="N15:V15" si="8">MAX(0,2+N$7+(N$8&lt;=$C14)+(N$8&lt;=MAX($C14-18,0))+(N$8&lt;=MAX($C14-36,0))-N14)*NOT(ISBLANK($C14))</f>
        <v>0</v>
      </c>
      <c r="O15" s="49">
        <f t="shared" si="8"/>
        <v>0</v>
      </c>
      <c r="P15" s="49">
        <f t="shared" si="8"/>
        <v>0</v>
      </c>
      <c r="Q15" s="49">
        <f t="shared" si="8"/>
        <v>0</v>
      </c>
      <c r="R15" s="49">
        <f t="shared" si="8"/>
        <v>0</v>
      </c>
      <c r="S15" s="49">
        <f t="shared" si="8"/>
        <v>0</v>
      </c>
      <c r="T15" s="49">
        <f t="shared" si="8"/>
        <v>0</v>
      </c>
      <c r="U15" s="49">
        <f t="shared" si="8"/>
        <v>0</v>
      </c>
      <c r="V15" s="49">
        <f t="shared" si="8"/>
        <v>0</v>
      </c>
      <c r="W15" s="49">
        <f t="shared" si="1"/>
        <v>0</v>
      </c>
      <c r="X15" s="49">
        <f t="shared" si="2"/>
        <v>0</v>
      </c>
      <c r="Y15" s="82"/>
      <c r="Z15" s="93" cm="1">
        <f t="array" ref="Z15">_xlfn.IFS(
    AND(Z14 &gt;= 50, Z14 &lt;= 70), 70,
    AND(Z14 &gt;= 70, Z14 &lt;= 75), 50,
    AND(Z14 &gt;= 75, Z14 &lt;= 80), 40,
    AND(Z14 &gt;= 81, Z14 &lt;= 85), 35,
    AND(Z14 &gt;= 85, Z14 &lt;= 90), 30,
    AND(Z14 &gt;= 90, Z14 &lt;= 110), 25,
 AND(Z14 &gt;= 110),0
)</f>
        <v>0</v>
      </c>
      <c r="AA15" s="94">
        <f>SUMIF(D15:L15, "&gt;2")+SUMIF(N15:V15, "&gt;2")</f>
        <v>0</v>
      </c>
      <c r="AB15" s="128">
        <v>0</v>
      </c>
      <c r="AC15" s="128">
        <v>0</v>
      </c>
      <c r="AD15" s="128">
        <v>0</v>
      </c>
      <c r="AE15" s="95">
        <f>SUM(Z15:AD15)</f>
        <v>0</v>
      </c>
      <c r="AF15" s="116"/>
      <c r="AG15" s="9" t="s">
        <v>49</v>
      </c>
      <c r="AH15" s="10">
        <v>5</v>
      </c>
      <c r="AJ15" s="37"/>
      <c r="AK15" s="120"/>
    </row>
    <row r="16" spans="2:37" ht="15.6" thickTop="1" thickBot="1">
      <c r="B16" s="51" t="s">
        <v>11</v>
      </c>
      <c r="C16" s="57">
        <v>18</v>
      </c>
      <c r="D16" s="236">
        <v>10</v>
      </c>
      <c r="E16" s="236">
        <v>10</v>
      </c>
      <c r="F16" s="236">
        <v>10</v>
      </c>
      <c r="G16" s="236">
        <v>10</v>
      </c>
      <c r="H16" s="236">
        <v>10</v>
      </c>
      <c r="I16" s="236">
        <v>10</v>
      </c>
      <c r="J16" s="236">
        <v>10</v>
      </c>
      <c r="K16" s="236">
        <v>10</v>
      </c>
      <c r="L16" s="236">
        <v>10</v>
      </c>
      <c r="M16" s="52">
        <f t="shared" si="0"/>
        <v>90</v>
      </c>
      <c r="N16" s="236">
        <v>10</v>
      </c>
      <c r="O16" s="236">
        <v>10</v>
      </c>
      <c r="P16" s="236">
        <v>10</v>
      </c>
      <c r="Q16" s="236">
        <v>10</v>
      </c>
      <c r="R16" s="236">
        <v>10</v>
      </c>
      <c r="S16" s="236">
        <v>10</v>
      </c>
      <c r="T16" s="236">
        <v>10</v>
      </c>
      <c r="U16" s="236">
        <v>10</v>
      </c>
      <c r="V16" s="236">
        <v>10</v>
      </c>
      <c r="W16" s="52">
        <f t="shared" si="1"/>
        <v>90</v>
      </c>
      <c r="X16" s="124">
        <f t="shared" si="2"/>
        <v>180</v>
      </c>
      <c r="Y16" s="83">
        <f t="shared" ref="Y16" si="9">X17</f>
        <v>0</v>
      </c>
      <c r="Z16" s="90">
        <f>X16-C16</f>
        <v>162</v>
      </c>
      <c r="AA16" s="91"/>
      <c r="AB16" s="91"/>
      <c r="AC16" s="91"/>
      <c r="AD16" s="91"/>
      <c r="AE16" s="92"/>
      <c r="AF16" s="116">
        <v>0</v>
      </c>
      <c r="AG16" s="11" t="s">
        <v>51</v>
      </c>
      <c r="AH16" s="12">
        <v>5</v>
      </c>
    </row>
    <row r="17" spans="2:34" ht="15.6" thickTop="1" thickBot="1">
      <c r="B17" s="53" t="s">
        <v>91</v>
      </c>
      <c r="C17" s="57"/>
      <c r="D17" s="52">
        <f t="shared" ref="D17:L17" si="10">MAX(0,2+D$7+(D$8&lt;=$C16)+(D$8&lt;=MAX($C16-18,0))+(D$8&lt;=MAX($C16-36,0))-D16)*NOT(ISBLANK($C16))</f>
        <v>0</v>
      </c>
      <c r="E17" s="52">
        <f t="shared" si="10"/>
        <v>0</v>
      </c>
      <c r="F17" s="52">
        <f t="shared" si="10"/>
        <v>0</v>
      </c>
      <c r="G17" s="52">
        <f t="shared" si="10"/>
        <v>0</v>
      </c>
      <c r="H17" s="52">
        <f t="shared" si="10"/>
        <v>0</v>
      </c>
      <c r="I17" s="52">
        <f t="shared" si="10"/>
        <v>0</v>
      </c>
      <c r="J17" s="52">
        <f t="shared" si="10"/>
        <v>0</v>
      </c>
      <c r="K17" s="52">
        <f t="shared" si="10"/>
        <v>0</v>
      </c>
      <c r="L17" s="52">
        <f t="shared" si="10"/>
        <v>0</v>
      </c>
      <c r="M17" s="52">
        <f t="shared" si="0"/>
        <v>0</v>
      </c>
      <c r="N17" s="52">
        <f t="shared" ref="N17:V17" si="11">MAX(0,2+N$7+(N$8&lt;=$C16)+(N$8&lt;=MAX($C16-18,0))+(N$8&lt;=MAX($C16-36,0))-N16)*NOT(ISBLANK($C16))</f>
        <v>0</v>
      </c>
      <c r="O17" s="52">
        <f t="shared" si="11"/>
        <v>0</v>
      </c>
      <c r="P17" s="52">
        <f t="shared" si="11"/>
        <v>0</v>
      </c>
      <c r="Q17" s="52">
        <f t="shared" si="11"/>
        <v>0</v>
      </c>
      <c r="R17" s="52">
        <f t="shared" si="11"/>
        <v>0</v>
      </c>
      <c r="S17" s="52">
        <f t="shared" si="11"/>
        <v>0</v>
      </c>
      <c r="T17" s="52">
        <f t="shared" si="11"/>
        <v>0</v>
      </c>
      <c r="U17" s="52">
        <f t="shared" si="11"/>
        <v>0</v>
      </c>
      <c r="V17" s="52">
        <f t="shared" si="11"/>
        <v>0</v>
      </c>
      <c r="W17" s="52">
        <f t="shared" si="1"/>
        <v>0</v>
      </c>
      <c r="X17" s="52">
        <f t="shared" si="2"/>
        <v>0</v>
      </c>
      <c r="Y17" s="83"/>
      <c r="Z17" s="87" cm="1">
        <f t="array" ref="Z17">_xlfn.IFS(
    AND(Z16 &gt;= 50, Z16 &lt;= 70), 70,
    AND(Z16 &gt;= 70, Z16 &lt;= 75), 50,
    AND(Z16 &gt;= 75, Z16 &lt;= 80), 40,
    AND(Z16 &gt;= 81, Z16 &lt;= 85), 35,
    AND(Z16 &gt;= 85, Z16 &lt;= 90), 30,
    AND(Z16 &gt;= 90, Z16 &lt;= 110), 25,
 AND(Z16 &gt;= 110),0
)</f>
        <v>0</v>
      </c>
      <c r="AA17" s="88">
        <f>SUMIF(D17:L17, "&gt;2")+SUMIF(N17:V17, "&gt;2")</f>
        <v>0</v>
      </c>
      <c r="AB17" s="128">
        <v>0</v>
      </c>
      <c r="AC17" s="128">
        <v>0</v>
      </c>
      <c r="AD17" s="128">
        <v>0</v>
      </c>
      <c r="AE17" s="89">
        <f>SUM(Z17:AD17)</f>
        <v>0</v>
      </c>
      <c r="AF17" s="116"/>
      <c r="AG17" s="17" t="s">
        <v>4</v>
      </c>
      <c r="AH17" s="18">
        <v>10</v>
      </c>
    </row>
    <row r="18" spans="2:34" ht="15" thickTop="1"/>
    <row r="20" spans="2:34" ht="15" thickBot="1">
      <c r="C20" s="2"/>
      <c r="O20" s="8"/>
    </row>
    <row r="21" spans="2:34" ht="15.6" thickTop="1" thickBot="1">
      <c r="B21" s="78" t="s">
        <v>92</v>
      </c>
      <c r="C21" s="46">
        <v>73</v>
      </c>
      <c r="O21" s="8"/>
    </row>
    <row r="22" spans="2:34" ht="15.6" thickTop="1" thickBot="1">
      <c r="B22" s="78" t="s">
        <v>93</v>
      </c>
      <c r="C22" s="46">
        <v>135</v>
      </c>
      <c r="O22" s="8"/>
    </row>
    <row r="23" spans="2:34" ht="15.6" thickTop="1" thickBot="1">
      <c r="B23" s="78" t="s">
        <v>88</v>
      </c>
      <c r="C23" s="46">
        <v>72</v>
      </c>
      <c r="O23" s="8"/>
    </row>
    <row r="24" spans="2:34" ht="15" thickTop="1">
      <c r="O24" s="8"/>
    </row>
    <row r="25" spans="2:34">
      <c r="O25" s="8"/>
    </row>
    <row r="26" spans="2:34">
      <c r="O26" s="8"/>
    </row>
    <row r="27" spans="2:34">
      <c r="O27" s="8"/>
    </row>
    <row r="28" spans="2:34">
      <c r="O28" s="8"/>
    </row>
  </sheetData>
  <mergeCells count="2">
    <mergeCell ref="C4:AE4"/>
    <mergeCell ref="C5:AE5"/>
  </mergeCells>
  <conditionalFormatting sqref="D11:V11">
    <cfRule type="cellIs" dxfId="15" priority="2" operator="between">
      <formula>3</formula>
      <formula>5</formula>
    </cfRule>
  </conditionalFormatting>
  <conditionalFormatting sqref="D13:V13 D15:V15 D17:V17">
    <cfRule type="cellIs" dxfId="14" priority="1" operator="between">
      <formula>3</formula>
      <formula>5</formula>
    </cfRule>
  </conditionalFormatting>
  <pageMargins left="0.7" right="0.7" top="0.75" bottom="0.75" header="0.3" footer="0.3"/>
  <headerFooter>
    <oddFooter>&amp;C_x000D_&amp;1#&amp;"Calibri"&amp;10&amp;K000000 OFFICIAL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116C-08F6-49B9-9548-83BE888E9E95}">
  <dimension ref="B3:AK28"/>
  <sheetViews>
    <sheetView showGridLines="0" zoomScale="99" workbookViewId="0">
      <selection activeCell="Y53" sqref="Y53"/>
    </sheetView>
  </sheetViews>
  <sheetFormatPr defaultColWidth="8.85546875" defaultRowHeight="14.45"/>
  <cols>
    <col min="1" max="1" width="8.85546875" style="5"/>
    <col min="2" max="2" width="13.42578125" style="1" customWidth="1"/>
    <col min="3" max="3" width="7.140625" style="1" customWidth="1"/>
    <col min="4" max="5" width="5.42578125" style="4" customWidth="1"/>
    <col min="6" max="6" width="5.7109375" style="4" customWidth="1"/>
    <col min="7" max="7" width="5.85546875" style="4" customWidth="1"/>
    <col min="8" max="8" width="5.42578125" style="4" customWidth="1"/>
    <col min="9" max="9" width="6" style="4" customWidth="1"/>
    <col min="10" max="10" width="5.7109375" style="4" customWidth="1"/>
    <col min="11" max="11" width="6" style="4" customWidth="1"/>
    <col min="12" max="12" width="5.42578125" style="4" customWidth="1"/>
    <col min="13" max="13" width="6.85546875" style="3" customWidth="1"/>
    <col min="14" max="14" width="6" style="4" customWidth="1"/>
    <col min="15" max="15" width="5.85546875" style="4" customWidth="1"/>
    <col min="16" max="16" width="6.140625" style="4" customWidth="1"/>
    <col min="17" max="19" width="5.42578125" style="4" customWidth="1"/>
    <col min="20" max="20" width="5.28515625" style="4" customWidth="1"/>
    <col min="21" max="21" width="5.140625" style="4" customWidth="1"/>
    <col min="22" max="22" width="5.42578125" style="4" customWidth="1"/>
    <col min="23" max="23" width="7.28515625" style="3" customWidth="1"/>
    <col min="24" max="24" width="5.7109375" style="3" customWidth="1"/>
    <col min="25" max="25" width="6.5703125" style="3" customWidth="1"/>
    <col min="26" max="32" width="8.85546875" style="5"/>
    <col min="33" max="33" width="9.7109375" style="5" bestFit="1" customWidth="1"/>
    <col min="34" max="34" width="11.42578125" style="5" bestFit="1" customWidth="1"/>
    <col min="35" max="35" width="8.85546875" style="5"/>
    <col min="36" max="36" width="7.28515625" style="5" customWidth="1"/>
    <col min="37" max="37" width="13.85546875" style="5" bestFit="1" customWidth="1"/>
    <col min="38" max="16384" width="8.85546875" style="5"/>
  </cols>
  <sheetData>
    <row r="3" spans="2:37" ht="15" thickBot="1"/>
    <row r="4" spans="2:37" ht="15.6" thickTop="1" thickBot="1">
      <c r="C4" s="268" t="s">
        <v>82</v>
      </c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69"/>
    </row>
    <row r="5" spans="2:37" ht="15.6" thickTop="1" thickBot="1">
      <c r="C5" s="268" t="s">
        <v>83</v>
      </c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70"/>
      <c r="AA5" s="270"/>
      <c r="AB5" s="270"/>
      <c r="AC5" s="270"/>
      <c r="AD5" s="270"/>
      <c r="AE5" s="270"/>
    </row>
    <row r="6" spans="2:37" s="1" customFormat="1" ht="15.6" thickTop="1" thickBot="1">
      <c r="C6" s="38" t="s">
        <v>84</v>
      </c>
      <c r="D6" s="39">
        <v>1</v>
      </c>
      <c r="E6" s="39">
        <v>2</v>
      </c>
      <c r="F6" s="39">
        <v>3</v>
      </c>
      <c r="G6" s="39">
        <v>4</v>
      </c>
      <c r="H6" s="39">
        <v>5</v>
      </c>
      <c r="I6" s="39">
        <v>6</v>
      </c>
      <c r="J6" s="39">
        <v>7</v>
      </c>
      <c r="K6" s="39">
        <v>8</v>
      </c>
      <c r="L6" s="39">
        <v>9</v>
      </c>
      <c r="M6" s="39" t="s">
        <v>85</v>
      </c>
      <c r="N6" s="39">
        <v>10</v>
      </c>
      <c r="O6" s="39">
        <v>11</v>
      </c>
      <c r="P6" s="39">
        <v>12</v>
      </c>
      <c r="Q6" s="39">
        <v>13</v>
      </c>
      <c r="R6" s="39">
        <v>14</v>
      </c>
      <c r="S6" s="39">
        <v>15</v>
      </c>
      <c r="T6" s="39">
        <v>16</v>
      </c>
      <c r="U6" s="39">
        <v>17</v>
      </c>
      <c r="V6" s="39">
        <v>18</v>
      </c>
      <c r="W6" s="39" t="s">
        <v>86</v>
      </c>
      <c r="X6" s="39" t="s">
        <v>7</v>
      </c>
      <c r="Y6" s="78" t="s">
        <v>87</v>
      </c>
      <c r="Z6" s="84" t="s">
        <v>2</v>
      </c>
      <c r="AA6" s="85" t="s">
        <v>3</v>
      </c>
      <c r="AB6" s="85" t="s">
        <v>4</v>
      </c>
      <c r="AC6" s="85" t="s">
        <v>5</v>
      </c>
      <c r="AD6" s="85" t="s">
        <v>6</v>
      </c>
      <c r="AE6" s="86" t="s">
        <v>7</v>
      </c>
      <c r="AF6" s="86" t="s">
        <v>9</v>
      </c>
    </row>
    <row r="7" spans="2:37" s="1" customFormat="1" ht="15.6" thickTop="1" thickBot="1">
      <c r="C7" s="38" t="s">
        <v>88</v>
      </c>
      <c r="D7" s="39">
        <v>4</v>
      </c>
      <c r="E7" s="39">
        <v>5</v>
      </c>
      <c r="F7" s="39">
        <v>4</v>
      </c>
      <c r="G7" s="39">
        <v>3</v>
      </c>
      <c r="H7" s="39">
        <v>4</v>
      </c>
      <c r="I7" s="39">
        <v>4</v>
      </c>
      <c r="J7" s="39">
        <v>3</v>
      </c>
      <c r="K7" s="39">
        <v>5</v>
      </c>
      <c r="L7" s="39">
        <v>4</v>
      </c>
      <c r="M7" s="39">
        <f>SUM(D7:L7)</f>
        <v>36</v>
      </c>
      <c r="N7" s="39">
        <v>5</v>
      </c>
      <c r="O7" s="39">
        <v>4</v>
      </c>
      <c r="P7" s="39">
        <v>3</v>
      </c>
      <c r="Q7" s="39">
        <v>4</v>
      </c>
      <c r="R7" s="39">
        <v>4</v>
      </c>
      <c r="S7" s="39">
        <v>3</v>
      </c>
      <c r="T7" s="39">
        <v>4</v>
      </c>
      <c r="U7" s="39">
        <v>4</v>
      </c>
      <c r="V7" s="39">
        <v>5</v>
      </c>
      <c r="W7" s="39">
        <f>SUM(N7:V7)</f>
        <v>36</v>
      </c>
      <c r="X7" s="39">
        <f>M7+W7</f>
        <v>72</v>
      </c>
      <c r="Y7" s="78"/>
      <c r="Z7" s="111"/>
      <c r="AA7" s="112" t="s">
        <v>18</v>
      </c>
      <c r="AB7" s="112" t="s">
        <v>18</v>
      </c>
      <c r="AC7" s="112" t="s">
        <v>18</v>
      </c>
      <c r="AD7" s="112" t="s">
        <v>18</v>
      </c>
      <c r="AE7" s="113" t="s">
        <v>18</v>
      </c>
      <c r="AF7" s="86"/>
      <c r="AG7" s="6" t="s">
        <v>17</v>
      </c>
      <c r="AH7" s="7" t="s">
        <v>18</v>
      </c>
      <c r="AJ7" s="121"/>
      <c r="AK7" s="121"/>
    </row>
    <row r="8" spans="2:37" s="1" customFormat="1" ht="15.6" thickTop="1" thickBot="1">
      <c r="C8" s="38" t="s">
        <v>89</v>
      </c>
      <c r="D8" s="39">
        <v>5</v>
      </c>
      <c r="E8" s="39">
        <v>9</v>
      </c>
      <c r="F8" s="39">
        <v>3</v>
      </c>
      <c r="G8" s="39">
        <v>14</v>
      </c>
      <c r="H8" s="39">
        <v>11</v>
      </c>
      <c r="I8" s="39">
        <v>15</v>
      </c>
      <c r="J8" s="39">
        <v>18</v>
      </c>
      <c r="K8" s="39">
        <v>13</v>
      </c>
      <c r="L8" s="39">
        <v>1</v>
      </c>
      <c r="M8" s="39"/>
      <c r="N8" s="39">
        <v>12</v>
      </c>
      <c r="O8" s="39">
        <v>10</v>
      </c>
      <c r="P8" s="39">
        <v>16</v>
      </c>
      <c r="Q8" s="39">
        <v>8</v>
      </c>
      <c r="R8" s="39">
        <v>2</v>
      </c>
      <c r="S8" s="39">
        <v>17</v>
      </c>
      <c r="T8" s="39">
        <v>6</v>
      </c>
      <c r="U8" s="39">
        <v>7</v>
      </c>
      <c r="V8" s="39">
        <v>4</v>
      </c>
      <c r="W8" s="39"/>
      <c r="X8" s="39"/>
      <c r="Y8" s="78"/>
      <c r="Z8" s="114"/>
      <c r="AA8" s="115"/>
      <c r="AB8" s="115"/>
      <c r="AC8" s="115"/>
      <c r="AD8" s="115"/>
      <c r="AE8" s="116"/>
      <c r="AF8" s="116"/>
      <c r="AG8" s="9" t="s">
        <v>27</v>
      </c>
      <c r="AH8" s="10">
        <v>70</v>
      </c>
      <c r="AJ8" s="122"/>
      <c r="AK8" s="123"/>
    </row>
    <row r="9" spans="2:37" ht="15.6" thickTop="1" thickBot="1">
      <c r="C9" s="40" t="s">
        <v>90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79"/>
      <c r="Z9" s="111"/>
      <c r="AA9" s="112"/>
      <c r="AB9" s="112"/>
      <c r="AC9" s="112"/>
      <c r="AD9" s="112"/>
      <c r="AE9" s="113"/>
      <c r="AF9" s="116"/>
      <c r="AG9" s="11" t="s">
        <v>32</v>
      </c>
      <c r="AH9" s="12">
        <v>50</v>
      </c>
      <c r="AJ9" s="122"/>
      <c r="AK9" s="117"/>
    </row>
    <row r="10" spans="2:37" ht="15.6" thickTop="1" thickBot="1">
      <c r="B10" s="42" t="s">
        <v>13</v>
      </c>
      <c r="C10" s="54">
        <v>15</v>
      </c>
      <c r="D10" s="43">
        <v>10</v>
      </c>
      <c r="E10" s="43">
        <v>10</v>
      </c>
      <c r="F10" s="43">
        <v>10</v>
      </c>
      <c r="G10" s="43">
        <v>10</v>
      </c>
      <c r="H10" s="43">
        <v>10</v>
      </c>
      <c r="I10" s="43">
        <v>10</v>
      </c>
      <c r="J10" s="43">
        <v>10</v>
      </c>
      <c r="K10" s="43">
        <v>10</v>
      </c>
      <c r="L10" s="43">
        <v>10</v>
      </c>
      <c r="M10" s="43">
        <f t="shared" ref="M10:M17" si="0">SUM(D10:L10)</f>
        <v>90</v>
      </c>
      <c r="N10" s="43">
        <v>10</v>
      </c>
      <c r="O10" s="43">
        <v>10</v>
      </c>
      <c r="P10" s="43">
        <v>10</v>
      </c>
      <c r="Q10" s="43">
        <v>10</v>
      </c>
      <c r="R10" s="43">
        <v>10</v>
      </c>
      <c r="S10" s="43">
        <v>10</v>
      </c>
      <c r="T10" s="43">
        <v>10</v>
      </c>
      <c r="U10" s="43">
        <v>10</v>
      </c>
      <c r="V10" s="43">
        <v>10</v>
      </c>
      <c r="W10" s="43">
        <f t="shared" ref="W10:W17" si="1">SUM(N10:V10)</f>
        <v>90</v>
      </c>
      <c r="X10" s="127">
        <f t="shared" ref="X10:X17" si="2">+M10+W10</f>
        <v>180</v>
      </c>
      <c r="Y10" s="80">
        <f>X11</f>
        <v>0</v>
      </c>
      <c r="Z10" s="108">
        <f>X10-C10</f>
        <v>165</v>
      </c>
      <c r="AA10" s="109"/>
      <c r="AB10" s="109"/>
      <c r="AC10" s="109"/>
      <c r="AD10" s="109"/>
      <c r="AE10" s="110"/>
      <c r="AF10" s="116">
        <v>0</v>
      </c>
      <c r="AG10" s="11" t="s">
        <v>37</v>
      </c>
      <c r="AH10" s="12">
        <v>40</v>
      </c>
      <c r="AJ10" s="35"/>
      <c r="AK10" s="123"/>
    </row>
    <row r="11" spans="2:37" ht="15.6" thickTop="1" thickBot="1">
      <c r="B11" s="44" t="s">
        <v>91</v>
      </c>
      <c r="C11" s="54"/>
      <c r="D11" s="43">
        <f>MAX(0,2+D$7+(D$8&lt;=$C10)+(D$8&lt;=MAX($C10-18,0))+(D$8&lt;=MAX($C10-36,0))-D10)*NOT(ISBLANK($C10))</f>
        <v>0</v>
      </c>
      <c r="E11" s="43">
        <f t="shared" ref="E11:L11" si="3">MAX(0,2+E$7+(E$8&lt;=$C10)+(E$8&lt;=MAX($C10-18,0))+(E$8&lt;=MAX($C10-36,0))-E10)*NOT(ISBLANK($C10))</f>
        <v>0</v>
      </c>
      <c r="F11" s="43">
        <f t="shared" si="3"/>
        <v>0</v>
      </c>
      <c r="G11" s="43">
        <f t="shared" si="3"/>
        <v>0</v>
      </c>
      <c r="H11" s="43">
        <f t="shared" si="3"/>
        <v>0</v>
      </c>
      <c r="I11" s="43">
        <f t="shared" si="3"/>
        <v>0</v>
      </c>
      <c r="J11" s="43">
        <f t="shared" si="3"/>
        <v>0</v>
      </c>
      <c r="K11" s="43">
        <f t="shared" si="3"/>
        <v>0</v>
      </c>
      <c r="L11" s="43">
        <f t="shared" si="3"/>
        <v>0</v>
      </c>
      <c r="M11" s="43">
        <f t="shared" si="0"/>
        <v>0</v>
      </c>
      <c r="N11" s="43">
        <f t="shared" ref="N11:V11" si="4">MAX(0,2+N$7+(N$8&lt;=$C10)+(N$8&lt;=MAX($C10-18,0))+(N$8&lt;=MAX($C10-36,0))-N10)*NOT(ISBLANK($C10))</f>
        <v>0</v>
      </c>
      <c r="O11" s="43">
        <f t="shared" si="4"/>
        <v>0</v>
      </c>
      <c r="P11" s="43">
        <f t="shared" si="4"/>
        <v>0</v>
      </c>
      <c r="Q11" s="43">
        <f t="shared" si="4"/>
        <v>0</v>
      </c>
      <c r="R11" s="43">
        <f t="shared" si="4"/>
        <v>0</v>
      </c>
      <c r="S11" s="43">
        <f t="shared" si="4"/>
        <v>0</v>
      </c>
      <c r="T11" s="43">
        <f t="shared" si="4"/>
        <v>0</v>
      </c>
      <c r="U11" s="43">
        <f t="shared" si="4"/>
        <v>0</v>
      </c>
      <c r="V11" s="43">
        <f t="shared" si="4"/>
        <v>0</v>
      </c>
      <c r="W11" s="43">
        <f t="shared" si="1"/>
        <v>0</v>
      </c>
      <c r="X11" s="43">
        <f t="shared" si="2"/>
        <v>0</v>
      </c>
      <c r="Y11" s="80"/>
      <c r="Z11" s="105" cm="1">
        <f t="array" ref="Z11">_xlfn.IFS(
    AND(Z10 &gt;= 50, Z10 &lt;= 70), 70,
    AND(Z10 &gt;= 70, Z10 &lt;= 75), 50,
    AND(Z10 &gt;= 75, Z10 &lt;= 80), 40,
    AND(Z10 &gt;= 81, Z10 &lt;= 85), 35,
    AND(Z10 &gt;= 85, Z10 &lt;= 90), 30,
    AND(Z10 &gt;= 90, Z10 &lt;= 110), 25,
 AND(Z10 &gt;= 110),0
)</f>
        <v>0</v>
      </c>
      <c r="AA11" s="106">
        <f>SUMIF(D11:L11, "&gt;2")+SUMIF(N11:V11, "&gt;2")</f>
        <v>0</v>
      </c>
      <c r="AB11" s="128">
        <v>0</v>
      </c>
      <c r="AC11" s="128">
        <v>0</v>
      </c>
      <c r="AD11" s="128">
        <v>0</v>
      </c>
      <c r="AE11" s="107">
        <f>SUM(Z11:AD11)</f>
        <v>0</v>
      </c>
      <c r="AF11" s="116"/>
      <c r="AG11" s="11" t="s">
        <v>40</v>
      </c>
      <c r="AH11" s="12">
        <v>35</v>
      </c>
      <c r="AJ11" s="35"/>
      <c r="AK11" s="118"/>
    </row>
    <row r="12" spans="2:37" ht="15.6" thickTop="1" thickBot="1">
      <c r="B12" s="45" t="s">
        <v>14</v>
      </c>
      <c r="C12" s="55">
        <v>20</v>
      </c>
      <c r="D12" s="234">
        <v>10</v>
      </c>
      <c r="E12" s="234">
        <v>10</v>
      </c>
      <c r="F12" s="234">
        <v>10</v>
      </c>
      <c r="G12" s="234">
        <v>10</v>
      </c>
      <c r="H12" s="234">
        <v>10</v>
      </c>
      <c r="I12" s="234">
        <v>10</v>
      </c>
      <c r="J12" s="234">
        <v>10</v>
      </c>
      <c r="K12" s="234">
        <v>10</v>
      </c>
      <c r="L12" s="234">
        <v>10</v>
      </c>
      <c r="M12" s="46">
        <f t="shared" si="0"/>
        <v>90</v>
      </c>
      <c r="N12" s="234">
        <v>10</v>
      </c>
      <c r="O12" s="234">
        <v>10</v>
      </c>
      <c r="P12" s="234">
        <v>10</v>
      </c>
      <c r="Q12" s="234">
        <v>10</v>
      </c>
      <c r="R12" s="234">
        <v>10</v>
      </c>
      <c r="S12" s="234">
        <v>10</v>
      </c>
      <c r="T12" s="234">
        <v>10</v>
      </c>
      <c r="U12" s="234">
        <v>10</v>
      </c>
      <c r="V12" s="234">
        <v>10</v>
      </c>
      <c r="W12" s="46">
        <f t="shared" si="1"/>
        <v>90</v>
      </c>
      <c r="X12" s="126">
        <f t="shared" si="2"/>
        <v>180</v>
      </c>
      <c r="Y12" s="81">
        <f>X13</f>
        <v>0</v>
      </c>
      <c r="Z12" s="102">
        <f>X12-C12</f>
        <v>160</v>
      </c>
      <c r="AA12" s="103"/>
      <c r="AB12" s="103"/>
      <c r="AC12" s="103"/>
      <c r="AD12" s="103"/>
      <c r="AE12" s="104"/>
      <c r="AF12" s="116">
        <v>0</v>
      </c>
      <c r="AG12" s="11" t="s">
        <v>42</v>
      </c>
      <c r="AH12" s="12">
        <v>30</v>
      </c>
      <c r="AJ12" s="36"/>
      <c r="AK12" s="123"/>
    </row>
    <row r="13" spans="2:37" ht="15.6" thickTop="1" thickBot="1">
      <c r="B13" s="47" t="s">
        <v>91</v>
      </c>
      <c r="C13" s="55"/>
      <c r="D13" s="46">
        <f>MAX(0,2+D$7+(D$8&lt;=$C12)+(D$8&lt;=MAX($C12-18,0))+(D$8&lt;=MAX($C12-36,0))-D12)*NOT(ISBLANK($C12))</f>
        <v>0</v>
      </c>
      <c r="E13" s="46">
        <f t="shared" ref="E13:L13" si="5">MAX(0,2+E$7+(E$8&lt;=$C12)+(E$8&lt;=MAX($C12-18,0))+(E$8&lt;=MAX($C12-36,0))-E12)*NOT(ISBLANK($C12))</f>
        <v>0</v>
      </c>
      <c r="F13" s="46">
        <f t="shared" si="5"/>
        <v>0</v>
      </c>
      <c r="G13" s="46">
        <f t="shared" si="5"/>
        <v>0</v>
      </c>
      <c r="H13" s="46">
        <f t="shared" si="5"/>
        <v>0</v>
      </c>
      <c r="I13" s="46">
        <f t="shared" si="5"/>
        <v>0</v>
      </c>
      <c r="J13" s="46">
        <f t="shared" si="5"/>
        <v>0</v>
      </c>
      <c r="K13" s="46">
        <f t="shared" si="5"/>
        <v>0</v>
      </c>
      <c r="L13" s="46">
        <f t="shared" si="5"/>
        <v>0</v>
      </c>
      <c r="M13" s="46">
        <f t="shared" si="0"/>
        <v>0</v>
      </c>
      <c r="N13" s="46">
        <f t="shared" ref="N13:V13" si="6">MAX(0,2+N$7+(N$8&lt;=$C12)+(N$8&lt;=MAX($C12-18,0))+(N$8&lt;=MAX($C12-36,0))-N12)*NOT(ISBLANK($C12))</f>
        <v>0</v>
      </c>
      <c r="O13" s="46">
        <f t="shared" si="6"/>
        <v>0</v>
      </c>
      <c r="P13" s="46">
        <f t="shared" si="6"/>
        <v>0</v>
      </c>
      <c r="Q13" s="46">
        <f t="shared" si="6"/>
        <v>0</v>
      </c>
      <c r="R13" s="46">
        <f t="shared" si="6"/>
        <v>0</v>
      </c>
      <c r="S13" s="46">
        <f t="shared" si="6"/>
        <v>0</v>
      </c>
      <c r="T13" s="46">
        <f t="shared" si="6"/>
        <v>0</v>
      </c>
      <c r="U13" s="46">
        <f t="shared" si="6"/>
        <v>0</v>
      </c>
      <c r="V13" s="46">
        <f t="shared" si="6"/>
        <v>0</v>
      </c>
      <c r="W13" s="46">
        <f t="shared" si="1"/>
        <v>0</v>
      </c>
      <c r="X13" s="46">
        <f t="shared" si="2"/>
        <v>0</v>
      </c>
      <c r="Y13" s="81"/>
      <c r="Z13" s="99" cm="1">
        <f t="array" ref="Z13">_xlfn.IFS(
    AND(Z12 &gt;= 50, Z12 &lt;= 70), 70,
    AND(Z12 &gt;= 70, Z12 &lt;= 75), 50,
    AND(Z12 &gt;= 75, Z12 &lt;= 80), 40,
    AND(Z12 &gt;= 81, Z12 &lt;= 85), 35,
    AND(Z12 &gt;= 85, Z12 &lt;= 90), 30,
    AND(Z12 &gt;= 90, Z12 &lt;= 110), 25,
 AND(Z12 &gt;= 110),0
)</f>
        <v>0</v>
      </c>
      <c r="AA13" s="100">
        <f>SUMIF(D13:L13, "&gt;2")+SUMIF(N13:V13, "&gt;2")</f>
        <v>0</v>
      </c>
      <c r="AB13" s="128">
        <v>0</v>
      </c>
      <c r="AC13" s="128">
        <v>0</v>
      </c>
      <c r="AD13" s="128">
        <v>0</v>
      </c>
      <c r="AE13" s="101">
        <f>SUM(Z13:AD13)</f>
        <v>0</v>
      </c>
      <c r="AF13" s="116"/>
      <c r="AG13" s="13" t="s">
        <v>44</v>
      </c>
      <c r="AH13" s="14">
        <v>25</v>
      </c>
      <c r="AJ13" s="36"/>
      <c r="AK13" s="119"/>
    </row>
    <row r="14" spans="2:37" ht="15.6" thickTop="1" thickBot="1">
      <c r="B14" s="48" t="s">
        <v>12</v>
      </c>
      <c r="C14" s="56">
        <v>25</v>
      </c>
      <c r="D14" s="235">
        <v>10</v>
      </c>
      <c r="E14" s="235">
        <v>10</v>
      </c>
      <c r="F14" s="235">
        <v>10</v>
      </c>
      <c r="G14" s="235">
        <v>10</v>
      </c>
      <c r="H14" s="235">
        <v>10</v>
      </c>
      <c r="I14" s="235">
        <v>10</v>
      </c>
      <c r="J14" s="235">
        <v>10</v>
      </c>
      <c r="K14" s="235">
        <v>10</v>
      </c>
      <c r="L14" s="235">
        <v>10</v>
      </c>
      <c r="M14" s="49">
        <f t="shared" si="0"/>
        <v>90</v>
      </c>
      <c r="N14" s="235">
        <v>10</v>
      </c>
      <c r="O14" s="235">
        <v>10</v>
      </c>
      <c r="P14" s="235">
        <v>10</v>
      </c>
      <c r="Q14" s="235">
        <v>10</v>
      </c>
      <c r="R14" s="235">
        <v>10</v>
      </c>
      <c r="S14" s="235">
        <v>10</v>
      </c>
      <c r="T14" s="235">
        <v>10</v>
      </c>
      <c r="U14" s="235">
        <v>10</v>
      </c>
      <c r="V14" s="235">
        <v>10</v>
      </c>
      <c r="W14" s="49">
        <f t="shared" si="1"/>
        <v>90</v>
      </c>
      <c r="X14" s="125">
        <f t="shared" si="2"/>
        <v>180</v>
      </c>
      <c r="Y14" s="82">
        <f>X15</f>
        <v>0</v>
      </c>
      <c r="Z14" s="96">
        <f>X14-C14</f>
        <v>155</v>
      </c>
      <c r="AA14" s="97"/>
      <c r="AB14" s="97"/>
      <c r="AC14" s="97"/>
      <c r="AD14" s="97"/>
      <c r="AE14" s="98"/>
      <c r="AF14" s="116">
        <v>0</v>
      </c>
      <c r="AG14" s="15" t="s">
        <v>46</v>
      </c>
      <c r="AH14" s="16" t="s">
        <v>47</v>
      </c>
      <c r="AJ14" s="37"/>
      <c r="AK14" s="123"/>
    </row>
    <row r="15" spans="2:37" ht="15.6" thickTop="1" thickBot="1">
      <c r="B15" s="50" t="s">
        <v>91</v>
      </c>
      <c r="C15" s="56"/>
      <c r="D15" s="49">
        <f>MAX(0,2+D$7+(D$8&lt;=$C14)+(D$8&lt;=MAX($C14-18,0))+(D$8&lt;=MAX($C14-36,0))-D14)*NOT(ISBLANK($C14))</f>
        <v>0</v>
      </c>
      <c r="E15" s="49">
        <f t="shared" ref="E15:L15" si="7">MAX(0,2+E$7+(E$8&lt;=$C14)+(E$8&lt;=MAX($C14-18,0))+(E$8&lt;=MAX($C14-36,0))-E14)*NOT(ISBLANK($C14))</f>
        <v>0</v>
      </c>
      <c r="F15" s="49">
        <f t="shared" si="7"/>
        <v>0</v>
      </c>
      <c r="G15" s="49">
        <f t="shared" si="7"/>
        <v>0</v>
      </c>
      <c r="H15" s="49">
        <f t="shared" si="7"/>
        <v>0</v>
      </c>
      <c r="I15" s="49">
        <f t="shared" si="7"/>
        <v>0</v>
      </c>
      <c r="J15" s="49">
        <f t="shared" si="7"/>
        <v>0</v>
      </c>
      <c r="K15" s="49">
        <f t="shared" si="7"/>
        <v>0</v>
      </c>
      <c r="L15" s="49">
        <f t="shared" si="7"/>
        <v>0</v>
      </c>
      <c r="M15" s="49">
        <f t="shared" si="0"/>
        <v>0</v>
      </c>
      <c r="N15" s="49">
        <f t="shared" ref="N15:V15" si="8">MAX(0,2+N$7+(N$8&lt;=$C14)+(N$8&lt;=MAX($C14-18,0))+(N$8&lt;=MAX($C14-36,0))-N14)*NOT(ISBLANK($C14))</f>
        <v>0</v>
      </c>
      <c r="O15" s="49">
        <f t="shared" si="8"/>
        <v>0</v>
      </c>
      <c r="P15" s="49">
        <f t="shared" si="8"/>
        <v>0</v>
      </c>
      <c r="Q15" s="49">
        <f t="shared" si="8"/>
        <v>0</v>
      </c>
      <c r="R15" s="49">
        <f t="shared" si="8"/>
        <v>0</v>
      </c>
      <c r="S15" s="49">
        <f t="shared" si="8"/>
        <v>0</v>
      </c>
      <c r="T15" s="49">
        <f t="shared" si="8"/>
        <v>0</v>
      </c>
      <c r="U15" s="49">
        <f t="shared" si="8"/>
        <v>0</v>
      </c>
      <c r="V15" s="49">
        <f t="shared" si="8"/>
        <v>0</v>
      </c>
      <c r="W15" s="49">
        <f t="shared" si="1"/>
        <v>0</v>
      </c>
      <c r="X15" s="49">
        <f t="shared" si="2"/>
        <v>0</v>
      </c>
      <c r="Y15" s="82"/>
      <c r="Z15" s="93" cm="1">
        <f t="array" ref="Z15">_xlfn.IFS(
    AND(Z14 &gt;= 50, Z14 &lt;= 70), 70,
    AND(Z14 &gt;= 70, Z14 &lt;= 75), 50,
    AND(Z14 &gt;= 75, Z14 &lt;= 80), 40,
    AND(Z14 &gt;= 81, Z14 &lt;= 85), 35,
    AND(Z14 &gt;= 85, Z14 &lt;= 90), 30,
    AND(Z14 &gt;= 90, Z14 &lt;= 110), 25,
 AND(Z14 &gt;= 110),0
)</f>
        <v>0</v>
      </c>
      <c r="AA15" s="94">
        <f>SUMIF(D15:L15, "&gt;2")+SUMIF(N15:V15, "&gt;2")</f>
        <v>0</v>
      </c>
      <c r="AB15" s="128">
        <v>0</v>
      </c>
      <c r="AC15" s="128">
        <v>0</v>
      </c>
      <c r="AD15" s="128">
        <v>0</v>
      </c>
      <c r="AE15" s="95">
        <f>SUM(Z15:AD15)</f>
        <v>0</v>
      </c>
      <c r="AF15" s="116"/>
      <c r="AG15" s="9" t="s">
        <v>49</v>
      </c>
      <c r="AH15" s="10">
        <v>5</v>
      </c>
      <c r="AJ15" s="37"/>
      <c r="AK15" s="120"/>
    </row>
    <row r="16" spans="2:37" ht="15.6" thickTop="1" thickBot="1">
      <c r="B16" s="51" t="s">
        <v>11</v>
      </c>
      <c r="C16" s="57">
        <v>18</v>
      </c>
      <c r="D16" s="236">
        <v>10</v>
      </c>
      <c r="E16" s="236">
        <v>10</v>
      </c>
      <c r="F16" s="236">
        <v>10</v>
      </c>
      <c r="G16" s="236">
        <v>10</v>
      </c>
      <c r="H16" s="236">
        <v>10</v>
      </c>
      <c r="I16" s="236">
        <v>10</v>
      </c>
      <c r="J16" s="236">
        <v>10</v>
      </c>
      <c r="K16" s="236">
        <v>10</v>
      </c>
      <c r="L16" s="236">
        <v>10</v>
      </c>
      <c r="M16" s="52">
        <f t="shared" si="0"/>
        <v>90</v>
      </c>
      <c r="N16" s="236">
        <v>10</v>
      </c>
      <c r="O16" s="236">
        <v>10</v>
      </c>
      <c r="P16" s="236">
        <v>10</v>
      </c>
      <c r="Q16" s="236">
        <v>10</v>
      </c>
      <c r="R16" s="236">
        <v>10</v>
      </c>
      <c r="S16" s="236">
        <v>10</v>
      </c>
      <c r="T16" s="236">
        <v>10</v>
      </c>
      <c r="U16" s="236">
        <v>10</v>
      </c>
      <c r="V16" s="236">
        <v>10</v>
      </c>
      <c r="W16" s="52">
        <f t="shared" si="1"/>
        <v>90</v>
      </c>
      <c r="X16" s="124">
        <f t="shared" si="2"/>
        <v>180</v>
      </c>
      <c r="Y16" s="83">
        <f t="shared" ref="Y16" si="9">X17</f>
        <v>0</v>
      </c>
      <c r="Z16" s="90">
        <f>X16-C16</f>
        <v>162</v>
      </c>
      <c r="AA16" s="91"/>
      <c r="AB16" s="91"/>
      <c r="AC16" s="91"/>
      <c r="AD16" s="91"/>
      <c r="AE16" s="92"/>
      <c r="AF16" s="116">
        <v>0</v>
      </c>
      <c r="AG16" s="11" t="s">
        <v>51</v>
      </c>
      <c r="AH16" s="12">
        <v>5</v>
      </c>
    </row>
    <row r="17" spans="2:34" ht="15.6" thickTop="1" thickBot="1">
      <c r="B17" s="53" t="s">
        <v>91</v>
      </c>
      <c r="C17" s="57"/>
      <c r="D17" s="52">
        <f t="shared" ref="D17:L17" si="10">MAX(0,2+D$7+(D$8&lt;=$C16)+(D$8&lt;=MAX($C16-18,0))+(D$8&lt;=MAX($C16-36,0))-D16)*NOT(ISBLANK($C16))</f>
        <v>0</v>
      </c>
      <c r="E17" s="52">
        <f t="shared" si="10"/>
        <v>0</v>
      </c>
      <c r="F17" s="52">
        <f t="shared" si="10"/>
        <v>0</v>
      </c>
      <c r="G17" s="52">
        <f t="shared" si="10"/>
        <v>0</v>
      </c>
      <c r="H17" s="52">
        <f t="shared" si="10"/>
        <v>0</v>
      </c>
      <c r="I17" s="52">
        <f t="shared" si="10"/>
        <v>0</v>
      </c>
      <c r="J17" s="52">
        <f t="shared" si="10"/>
        <v>0</v>
      </c>
      <c r="K17" s="52">
        <f t="shared" si="10"/>
        <v>0</v>
      </c>
      <c r="L17" s="52">
        <f t="shared" si="10"/>
        <v>0</v>
      </c>
      <c r="M17" s="52">
        <f t="shared" si="0"/>
        <v>0</v>
      </c>
      <c r="N17" s="52">
        <f t="shared" ref="N17:V17" si="11">MAX(0,2+N$7+(N$8&lt;=$C16)+(N$8&lt;=MAX($C16-18,0))+(N$8&lt;=MAX($C16-36,0))-N16)*NOT(ISBLANK($C16))</f>
        <v>0</v>
      </c>
      <c r="O17" s="52">
        <f t="shared" si="11"/>
        <v>0</v>
      </c>
      <c r="P17" s="52">
        <f t="shared" si="11"/>
        <v>0</v>
      </c>
      <c r="Q17" s="52">
        <f t="shared" si="11"/>
        <v>0</v>
      </c>
      <c r="R17" s="52">
        <f t="shared" si="11"/>
        <v>0</v>
      </c>
      <c r="S17" s="52">
        <f t="shared" si="11"/>
        <v>0</v>
      </c>
      <c r="T17" s="52">
        <f t="shared" si="11"/>
        <v>0</v>
      </c>
      <c r="U17" s="52">
        <f t="shared" si="11"/>
        <v>0</v>
      </c>
      <c r="V17" s="52">
        <f t="shared" si="11"/>
        <v>0</v>
      </c>
      <c r="W17" s="52">
        <f t="shared" si="1"/>
        <v>0</v>
      </c>
      <c r="X17" s="52">
        <f t="shared" si="2"/>
        <v>0</v>
      </c>
      <c r="Y17" s="83"/>
      <c r="Z17" s="87" cm="1">
        <f t="array" ref="Z17">_xlfn.IFS(
    AND(Z16 &gt;= 50, Z16 &lt;= 70), 70,
    AND(Z16 &gt;= 70, Z16 &lt;= 75), 50,
    AND(Z16 &gt;= 75, Z16 &lt;= 80), 40,
    AND(Z16 &gt;= 81, Z16 &lt;= 85), 35,
    AND(Z16 &gt;= 85, Z16 &lt;= 90), 30,
    AND(Z16 &gt;= 90, Z16 &lt;= 110), 25,
 AND(Z16 &gt;= 110),0
)</f>
        <v>0</v>
      </c>
      <c r="AA17" s="88">
        <f>SUMIF(D17:L17, "&gt;2")+SUMIF(N17:V17, "&gt;2")</f>
        <v>0</v>
      </c>
      <c r="AB17" s="128">
        <v>0</v>
      </c>
      <c r="AC17" s="128">
        <v>0</v>
      </c>
      <c r="AD17" s="128">
        <v>0</v>
      </c>
      <c r="AE17" s="89">
        <f>SUM(Z17:AD17)</f>
        <v>0</v>
      </c>
      <c r="AF17" s="116"/>
      <c r="AG17" s="17" t="s">
        <v>4</v>
      </c>
      <c r="AH17" s="18">
        <v>10</v>
      </c>
    </row>
    <row r="18" spans="2:34" ht="15" thickTop="1"/>
    <row r="20" spans="2:34" ht="15" thickBot="1">
      <c r="C20" s="2"/>
      <c r="O20" s="8"/>
    </row>
    <row r="21" spans="2:34" ht="15.6" thickTop="1" thickBot="1">
      <c r="B21" s="78" t="s">
        <v>92</v>
      </c>
      <c r="C21" s="46">
        <v>73</v>
      </c>
      <c r="O21" s="8"/>
    </row>
    <row r="22" spans="2:34" ht="15.6" thickTop="1" thickBot="1">
      <c r="B22" s="78" t="s">
        <v>93</v>
      </c>
      <c r="C22" s="46">
        <v>135</v>
      </c>
      <c r="O22" s="8"/>
    </row>
    <row r="23" spans="2:34" ht="15.6" thickTop="1" thickBot="1">
      <c r="B23" s="78" t="s">
        <v>88</v>
      </c>
      <c r="C23" s="46">
        <v>72</v>
      </c>
      <c r="O23" s="8"/>
    </row>
    <row r="24" spans="2:34" ht="15" thickTop="1">
      <c r="O24" s="8"/>
    </row>
    <row r="25" spans="2:34">
      <c r="O25" s="8"/>
    </row>
    <row r="26" spans="2:34">
      <c r="O26" s="8"/>
    </row>
    <row r="27" spans="2:34">
      <c r="O27" s="8"/>
    </row>
    <row r="28" spans="2:34">
      <c r="O28" s="8"/>
    </row>
  </sheetData>
  <mergeCells count="2">
    <mergeCell ref="C4:AE4"/>
    <mergeCell ref="C5:AE5"/>
  </mergeCells>
  <conditionalFormatting sqref="D11:V11">
    <cfRule type="cellIs" dxfId="13" priority="2" operator="between">
      <formula>3</formula>
      <formula>5</formula>
    </cfRule>
  </conditionalFormatting>
  <conditionalFormatting sqref="D13:V13 D15:V15 D17:V17">
    <cfRule type="cellIs" dxfId="12" priority="1" operator="between">
      <formula>3</formula>
      <formula>5</formula>
    </cfRule>
  </conditionalFormatting>
  <pageMargins left="0.7" right="0.7" top="0.75" bottom="0.75" header="0.3" footer="0.3"/>
  <headerFooter>
    <oddFooter>&amp;C_x000D_&amp;1#&amp;"Calibri"&amp;10&amp;K000000 OFFICIAL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6AA8-1F64-4245-B7A9-DE5B6F982E86}">
  <dimension ref="B3:AK28"/>
  <sheetViews>
    <sheetView showGridLines="0" zoomScale="99" workbookViewId="0">
      <selection activeCell="AB51" sqref="AB51"/>
    </sheetView>
  </sheetViews>
  <sheetFormatPr defaultColWidth="8.85546875" defaultRowHeight="14.45"/>
  <cols>
    <col min="1" max="1" width="8.85546875" style="5"/>
    <col min="2" max="2" width="13.42578125" style="1" customWidth="1"/>
    <col min="3" max="3" width="7.140625" style="1" customWidth="1"/>
    <col min="4" max="5" width="5.42578125" style="4" customWidth="1"/>
    <col min="6" max="6" width="5.7109375" style="4" customWidth="1"/>
    <col min="7" max="7" width="5.85546875" style="4" customWidth="1"/>
    <col min="8" max="8" width="5.42578125" style="4" customWidth="1"/>
    <col min="9" max="9" width="6" style="4" customWidth="1"/>
    <col min="10" max="10" width="5.7109375" style="4" customWidth="1"/>
    <col min="11" max="11" width="6" style="4" customWidth="1"/>
    <col min="12" max="12" width="5.42578125" style="4" customWidth="1"/>
    <col min="13" max="13" width="6.85546875" style="3" customWidth="1"/>
    <col min="14" max="14" width="6" style="4" customWidth="1"/>
    <col min="15" max="15" width="5.85546875" style="4" customWidth="1"/>
    <col min="16" max="16" width="6.140625" style="4" customWidth="1"/>
    <col min="17" max="19" width="5.42578125" style="4" customWidth="1"/>
    <col min="20" max="20" width="5.28515625" style="4" customWidth="1"/>
    <col min="21" max="21" width="5.140625" style="4" customWidth="1"/>
    <col min="22" max="22" width="5.42578125" style="4" customWidth="1"/>
    <col min="23" max="23" width="7.28515625" style="3" customWidth="1"/>
    <col min="24" max="24" width="5.7109375" style="3" customWidth="1"/>
    <col min="25" max="25" width="6.5703125" style="3" customWidth="1"/>
    <col min="26" max="32" width="8.85546875" style="5"/>
    <col min="33" max="33" width="9.7109375" style="5" bestFit="1" customWidth="1"/>
    <col min="34" max="34" width="11.42578125" style="5" bestFit="1" customWidth="1"/>
    <col min="35" max="35" width="8.85546875" style="5"/>
    <col min="36" max="36" width="7.28515625" style="5" customWidth="1"/>
    <col min="37" max="37" width="13.85546875" style="5" bestFit="1" customWidth="1"/>
    <col min="38" max="16384" width="8.85546875" style="5"/>
  </cols>
  <sheetData>
    <row r="3" spans="2:37" ht="15" thickBot="1"/>
    <row r="4" spans="2:37" ht="15.6" thickTop="1" thickBot="1">
      <c r="C4" s="268" t="s">
        <v>82</v>
      </c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69"/>
    </row>
    <row r="5" spans="2:37" ht="15.6" thickTop="1" thickBot="1">
      <c r="C5" s="268" t="s">
        <v>83</v>
      </c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70"/>
      <c r="AA5" s="270"/>
      <c r="AB5" s="270"/>
      <c r="AC5" s="270"/>
      <c r="AD5" s="270"/>
      <c r="AE5" s="270"/>
    </row>
    <row r="6" spans="2:37" s="1" customFormat="1" ht="15.6" thickTop="1" thickBot="1">
      <c r="C6" s="38" t="s">
        <v>84</v>
      </c>
      <c r="D6" s="39">
        <v>1</v>
      </c>
      <c r="E6" s="39">
        <v>2</v>
      </c>
      <c r="F6" s="39">
        <v>3</v>
      </c>
      <c r="G6" s="39">
        <v>4</v>
      </c>
      <c r="H6" s="39">
        <v>5</v>
      </c>
      <c r="I6" s="39">
        <v>6</v>
      </c>
      <c r="J6" s="39">
        <v>7</v>
      </c>
      <c r="K6" s="39">
        <v>8</v>
      </c>
      <c r="L6" s="39">
        <v>9</v>
      </c>
      <c r="M6" s="39" t="s">
        <v>85</v>
      </c>
      <c r="N6" s="39">
        <v>10</v>
      </c>
      <c r="O6" s="39">
        <v>11</v>
      </c>
      <c r="P6" s="39">
        <v>12</v>
      </c>
      <c r="Q6" s="39">
        <v>13</v>
      </c>
      <c r="R6" s="39">
        <v>14</v>
      </c>
      <c r="S6" s="39">
        <v>15</v>
      </c>
      <c r="T6" s="39">
        <v>16</v>
      </c>
      <c r="U6" s="39">
        <v>17</v>
      </c>
      <c r="V6" s="39">
        <v>18</v>
      </c>
      <c r="W6" s="39" t="s">
        <v>86</v>
      </c>
      <c r="X6" s="39" t="s">
        <v>7</v>
      </c>
      <c r="Y6" s="78" t="s">
        <v>87</v>
      </c>
      <c r="Z6" s="84" t="s">
        <v>2</v>
      </c>
      <c r="AA6" s="85" t="s">
        <v>3</v>
      </c>
      <c r="AB6" s="85" t="s">
        <v>4</v>
      </c>
      <c r="AC6" s="85" t="s">
        <v>5</v>
      </c>
      <c r="AD6" s="85" t="s">
        <v>6</v>
      </c>
      <c r="AE6" s="86" t="s">
        <v>7</v>
      </c>
      <c r="AF6" s="86" t="s">
        <v>9</v>
      </c>
    </row>
    <row r="7" spans="2:37" s="1" customFormat="1" ht="15.6" thickTop="1" thickBot="1">
      <c r="C7" s="38" t="s">
        <v>88</v>
      </c>
      <c r="D7" s="39">
        <v>4</v>
      </c>
      <c r="E7" s="39">
        <v>5</v>
      </c>
      <c r="F7" s="39">
        <v>4</v>
      </c>
      <c r="G7" s="39">
        <v>3</v>
      </c>
      <c r="H7" s="39">
        <v>4</v>
      </c>
      <c r="I7" s="39">
        <v>4</v>
      </c>
      <c r="J7" s="39">
        <v>3</v>
      </c>
      <c r="K7" s="39">
        <v>5</v>
      </c>
      <c r="L7" s="39">
        <v>4</v>
      </c>
      <c r="M7" s="39">
        <f>SUM(D7:L7)</f>
        <v>36</v>
      </c>
      <c r="N7" s="39">
        <v>5</v>
      </c>
      <c r="O7" s="39">
        <v>4</v>
      </c>
      <c r="P7" s="39">
        <v>3</v>
      </c>
      <c r="Q7" s="39">
        <v>4</v>
      </c>
      <c r="R7" s="39">
        <v>4</v>
      </c>
      <c r="S7" s="39">
        <v>3</v>
      </c>
      <c r="T7" s="39">
        <v>4</v>
      </c>
      <c r="U7" s="39">
        <v>4</v>
      </c>
      <c r="V7" s="39">
        <v>5</v>
      </c>
      <c r="W7" s="39">
        <f>SUM(N7:V7)</f>
        <v>36</v>
      </c>
      <c r="X7" s="39">
        <f>M7+W7</f>
        <v>72</v>
      </c>
      <c r="Y7" s="78"/>
      <c r="Z7" s="111"/>
      <c r="AA7" s="112" t="s">
        <v>18</v>
      </c>
      <c r="AB7" s="112" t="s">
        <v>18</v>
      </c>
      <c r="AC7" s="112" t="s">
        <v>18</v>
      </c>
      <c r="AD7" s="112" t="s">
        <v>18</v>
      </c>
      <c r="AE7" s="113" t="s">
        <v>18</v>
      </c>
      <c r="AF7" s="86"/>
      <c r="AG7" s="6" t="s">
        <v>17</v>
      </c>
      <c r="AH7" s="7" t="s">
        <v>18</v>
      </c>
      <c r="AJ7" s="121"/>
      <c r="AK7" s="121"/>
    </row>
    <row r="8" spans="2:37" s="1" customFormat="1" ht="15.6" thickTop="1" thickBot="1">
      <c r="C8" s="38" t="s">
        <v>89</v>
      </c>
      <c r="D8" s="39">
        <v>5</v>
      </c>
      <c r="E8" s="39">
        <v>9</v>
      </c>
      <c r="F8" s="39">
        <v>3</v>
      </c>
      <c r="G8" s="39">
        <v>14</v>
      </c>
      <c r="H8" s="39">
        <v>11</v>
      </c>
      <c r="I8" s="39">
        <v>15</v>
      </c>
      <c r="J8" s="39">
        <v>18</v>
      </c>
      <c r="K8" s="39">
        <v>13</v>
      </c>
      <c r="L8" s="39">
        <v>1</v>
      </c>
      <c r="M8" s="39"/>
      <c r="N8" s="39">
        <v>12</v>
      </c>
      <c r="O8" s="39">
        <v>10</v>
      </c>
      <c r="P8" s="39">
        <v>16</v>
      </c>
      <c r="Q8" s="39">
        <v>8</v>
      </c>
      <c r="R8" s="39">
        <v>2</v>
      </c>
      <c r="S8" s="39">
        <v>17</v>
      </c>
      <c r="T8" s="39">
        <v>6</v>
      </c>
      <c r="U8" s="39">
        <v>7</v>
      </c>
      <c r="V8" s="39">
        <v>4</v>
      </c>
      <c r="W8" s="39"/>
      <c r="X8" s="39"/>
      <c r="Y8" s="78"/>
      <c r="Z8" s="114"/>
      <c r="AA8" s="115"/>
      <c r="AB8" s="115"/>
      <c r="AC8" s="115"/>
      <c r="AD8" s="115"/>
      <c r="AE8" s="116"/>
      <c r="AF8" s="116"/>
      <c r="AG8" s="9" t="s">
        <v>27</v>
      </c>
      <c r="AH8" s="10">
        <v>70</v>
      </c>
      <c r="AJ8" s="122"/>
      <c r="AK8" s="123"/>
    </row>
    <row r="9" spans="2:37" ht="15.6" thickTop="1" thickBot="1">
      <c r="C9" s="40" t="s">
        <v>90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79"/>
      <c r="Z9" s="111"/>
      <c r="AA9" s="112"/>
      <c r="AB9" s="112"/>
      <c r="AC9" s="112"/>
      <c r="AD9" s="112"/>
      <c r="AE9" s="113"/>
      <c r="AF9" s="116"/>
      <c r="AG9" s="11" t="s">
        <v>32</v>
      </c>
      <c r="AH9" s="12">
        <v>50</v>
      </c>
      <c r="AJ9" s="122"/>
      <c r="AK9" s="117"/>
    </row>
    <row r="10" spans="2:37" ht="15.6" thickTop="1" thickBot="1">
      <c r="B10" s="42" t="s">
        <v>13</v>
      </c>
      <c r="C10" s="54">
        <v>15</v>
      </c>
      <c r="D10" s="43">
        <v>10</v>
      </c>
      <c r="E10" s="43">
        <v>10</v>
      </c>
      <c r="F10" s="43">
        <v>10</v>
      </c>
      <c r="G10" s="43">
        <v>10</v>
      </c>
      <c r="H10" s="43">
        <v>10</v>
      </c>
      <c r="I10" s="43">
        <v>10</v>
      </c>
      <c r="J10" s="43">
        <v>10</v>
      </c>
      <c r="K10" s="43">
        <v>10</v>
      </c>
      <c r="L10" s="43">
        <v>10</v>
      </c>
      <c r="M10" s="43">
        <f t="shared" ref="M10:M17" si="0">SUM(D10:L10)</f>
        <v>90</v>
      </c>
      <c r="N10" s="43">
        <v>10</v>
      </c>
      <c r="O10" s="43">
        <v>10</v>
      </c>
      <c r="P10" s="43">
        <v>10</v>
      </c>
      <c r="Q10" s="43">
        <v>10</v>
      </c>
      <c r="R10" s="43">
        <v>10</v>
      </c>
      <c r="S10" s="43">
        <v>10</v>
      </c>
      <c r="T10" s="43">
        <v>10</v>
      </c>
      <c r="U10" s="43">
        <v>10</v>
      </c>
      <c r="V10" s="43">
        <v>10</v>
      </c>
      <c r="W10" s="43">
        <f t="shared" ref="W10:W17" si="1">SUM(N10:V10)</f>
        <v>90</v>
      </c>
      <c r="X10" s="127">
        <f t="shared" ref="X10:X17" si="2">+M10+W10</f>
        <v>180</v>
      </c>
      <c r="Y10" s="80">
        <f>X11</f>
        <v>0</v>
      </c>
      <c r="Z10" s="108">
        <f>X10-C10</f>
        <v>165</v>
      </c>
      <c r="AA10" s="109"/>
      <c r="AB10" s="109"/>
      <c r="AC10" s="109"/>
      <c r="AD10" s="109"/>
      <c r="AE10" s="110"/>
      <c r="AF10" s="116">
        <v>0</v>
      </c>
      <c r="AG10" s="11" t="s">
        <v>37</v>
      </c>
      <c r="AH10" s="12">
        <v>40</v>
      </c>
      <c r="AJ10" s="35"/>
      <c r="AK10" s="123"/>
    </row>
    <row r="11" spans="2:37" ht="15.6" thickTop="1" thickBot="1">
      <c r="B11" s="44" t="s">
        <v>91</v>
      </c>
      <c r="C11" s="54"/>
      <c r="D11" s="43">
        <f>MAX(0,2+D$7+(D$8&lt;=$C10)+(D$8&lt;=MAX($C10-18,0))+(D$8&lt;=MAX($C10-36,0))-D10)*NOT(ISBLANK($C10))</f>
        <v>0</v>
      </c>
      <c r="E11" s="43">
        <f t="shared" ref="E11:L11" si="3">MAX(0,2+E$7+(E$8&lt;=$C10)+(E$8&lt;=MAX($C10-18,0))+(E$8&lt;=MAX($C10-36,0))-E10)*NOT(ISBLANK($C10))</f>
        <v>0</v>
      </c>
      <c r="F11" s="43">
        <f t="shared" si="3"/>
        <v>0</v>
      </c>
      <c r="G11" s="43">
        <f t="shared" si="3"/>
        <v>0</v>
      </c>
      <c r="H11" s="43">
        <f t="shared" si="3"/>
        <v>0</v>
      </c>
      <c r="I11" s="43">
        <f t="shared" si="3"/>
        <v>0</v>
      </c>
      <c r="J11" s="43">
        <f t="shared" si="3"/>
        <v>0</v>
      </c>
      <c r="K11" s="43">
        <f t="shared" si="3"/>
        <v>0</v>
      </c>
      <c r="L11" s="43">
        <f t="shared" si="3"/>
        <v>0</v>
      </c>
      <c r="M11" s="43">
        <f t="shared" si="0"/>
        <v>0</v>
      </c>
      <c r="N11" s="43">
        <f t="shared" ref="N11:V11" si="4">MAX(0,2+N$7+(N$8&lt;=$C10)+(N$8&lt;=MAX($C10-18,0))+(N$8&lt;=MAX($C10-36,0))-N10)*NOT(ISBLANK($C10))</f>
        <v>0</v>
      </c>
      <c r="O11" s="43">
        <f t="shared" si="4"/>
        <v>0</v>
      </c>
      <c r="P11" s="43">
        <f t="shared" si="4"/>
        <v>0</v>
      </c>
      <c r="Q11" s="43">
        <f t="shared" si="4"/>
        <v>0</v>
      </c>
      <c r="R11" s="43">
        <f t="shared" si="4"/>
        <v>0</v>
      </c>
      <c r="S11" s="43">
        <f t="shared" si="4"/>
        <v>0</v>
      </c>
      <c r="T11" s="43">
        <f t="shared" si="4"/>
        <v>0</v>
      </c>
      <c r="U11" s="43">
        <f t="shared" si="4"/>
        <v>0</v>
      </c>
      <c r="V11" s="43">
        <f t="shared" si="4"/>
        <v>0</v>
      </c>
      <c r="W11" s="43">
        <f t="shared" si="1"/>
        <v>0</v>
      </c>
      <c r="X11" s="43">
        <f t="shared" si="2"/>
        <v>0</v>
      </c>
      <c r="Y11" s="80"/>
      <c r="Z11" s="105" cm="1">
        <f t="array" ref="Z11">_xlfn.IFS(
    AND(Z10 &gt;= 50, Z10 &lt;= 70), 70,
    AND(Z10 &gt;= 70, Z10 &lt;= 75), 50,
    AND(Z10 &gt;= 75, Z10 &lt;= 80), 40,
    AND(Z10 &gt;= 81, Z10 &lt;= 85), 35,
    AND(Z10 &gt;= 85, Z10 &lt;= 90), 30,
    AND(Z10 &gt;= 90, Z10 &lt;= 110), 25,
 AND(Z10 &gt;= 110),0
)</f>
        <v>0</v>
      </c>
      <c r="AA11" s="106">
        <f>SUMIF(D11:L11, "&gt;2")+SUMIF(N11:V11, "&gt;2")</f>
        <v>0</v>
      </c>
      <c r="AB11" s="128">
        <v>0</v>
      </c>
      <c r="AC11" s="128">
        <v>0</v>
      </c>
      <c r="AD11" s="128">
        <v>0</v>
      </c>
      <c r="AE11" s="107">
        <f>SUM(Z11:AD11)</f>
        <v>0</v>
      </c>
      <c r="AF11" s="116"/>
      <c r="AG11" s="11" t="s">
        <v>40</v>
      </c>
      <c r="AH11" s="12">
        <v>35</v>
      </c>
      <c r="AJ11" s="35"/>
      <c r="AK11" s="118"/>
    </row>
    <row r="12" spans="2:37" ht="15.6" thickTop="1" thickBot="1">
      <c r="B12" s="45" t="s">
        <v>14</v>
      </c>
      <c r="C12" s="55">
        <v>20</v>
      </c>
      <c r="D12" s="234">
        <v>10</v>
      </c>
      <c r="E12" s="234">
        <v>10</v>
      </c>
      <c r="F12" s="234">
        <v>10</v>
      </c>
      <c r="G12" s="234">
        <v>10</v>
      </c>
      <c r="H12" s="234">
        <v>10</v>
      </c>
      <c r="I12" s="234">
        <v>10</v>
      </c>
      <c r="J12" s="234">
        <v>10</v>
      </c>
      <c r="K12" s="234">
        <v>10</v>
      </c>
      <c r="L12" s="234">
        <v>10</v>
      </c>
      <c r="M12" s="46">
        <f t="shared" si="0"/>
        <v>90</v>
      </c>
      <c r="N12" s="234">
        <v>10</v>
      </c>
      <c r="O12" s="234">
        <v>10</v>
      </c>
      <c r="P12" s="234">
        <v>10</v>
      </c>
      <c r="Q12" s="234">
        <v>10</v>
      </c>
      <c r="R12" s="234">
        <v>10</v>
      </c>
      <c r="S12" s="234">
        <v>10</v>
      </c>
      <c r="T12" s="234">
        <v>10</v>
      </c>
      <c r="U12" s="234">
        <v>10</v>
      </c>
      <c r="V12" s="234">
        <v>10</v>
      </c>
      <c r="W12" s="46">
        <f t="shared" si="1"/>
        <v>90</v>
      </c>
      <c r="X12" s="126">
        <f t="shared" si="2"/>
        <v>180</v>
      </c>
      <c r="Y12" s="81">
        <f>X13</f>
        <v>0</v>
      </c>
      <c r="Z12" s="102">
        <f>X12-C12</f>
        <v>160</v>
      </c>
      <c r="AA12" s="103"/>
      <c r="AB12" s="103"/>
      <c r="AC12" s="103"/>
      <c r="AD12" s="103"/>
      <c r="AE12" s="104"/>
      <c r="AF12" s="116">
        <v>0</v>
      </c>
      <c r="AG12" s="11" t="s">
        <v>42</v>
      </c>
      <c r="AH12" s="12">
        <v>30</v>
      </c>
      <c r="AJ12" s="36"/>
      <c r="AK12" s="123"/>
    </row>
    <row r="13" spans="2:37" ht="15.6" thickTop="1" thickBot="1">
      <c r="B13" s="47" t="s">
        <v>91</v>
      </c>
      <c r="C13" s="55"/>
      <c r="D13" s="46">
        <f>MAX(0,2+D$7+(D$8&lt;=$C12)+(D$8&lt;=MAX($C12-18,0))+(D$8&lt;=MAX($C12-36,0))-D12)*NOT(ISBLANK($C12))</f>
        <v>0</v>
      </c>
      <c r="E13" s="46">
        <f t="shared" ref="E13:L13" si="5">MAX(0,2+E$7+(E$8&lt;=$C12)+(E$8&lt;=MAX($C12-18,0))+(E$8&lt;=MAX($C12-36,0))-E12)*NOT(ISBLANK($C12))</f>
        <v>0</v>
      </c>
      <c r="F13" s="46">
        <f t="shared" si="5"/>
        <v>0</v>
      </c>
      <c r="G13" s="46">
        <f t="shared" si="5"/>
        <v>0</v>
      </c>
      <c r="H13" s="46">
        <f t="shared" si="5"/>
        <v>0</v>
      </c>
      <c r="I13" s="46">
        <f t="shared" si="5"/>
        <v>0</v>
      </c>
      <c r="J13" s="46">
        <f t="shared" si="5"/>
        <v>0</v>
      </c>
      <c r="K13" s="46">
        <f t="shared" si="5"/>
        <v>0</v>
      </c>
      <c r="L13" s="46">
        <f t="shared" si="5"/>
        <v>0</v>
      </c>
      <c r="M13" s="46">
        <f t="shared" si="0"/>
        <v>0</v>
      </c>
      <c r="N13" s="46">
        <f t="shared" ref="N13:V13" si="6">MAX(0,2+N$7+(N$8&lt;=$C12)+(N$8&lt;=MAX($C12-18,0))+(N$8&lt;=MAX($C12-36,0))-N12)*NOT(ISBLANK($C12))</f>
        <v>0</v>
      </c>
      <c r="O13" s="46">
        <f t="shared" si="6"/>
        <v>0</v>
      </c>
      <c r="P13" s="46">
        <f t="shared" si="6"/>
        <v>0</v>
      </c>
      <c r="Q13" s="46">
        <f t="shared" si="6"/>
        <v>0</v>
      </c>
      <c r="R13" s="46">
        <f t="shared" si="6"/>
        <v>0</v>
      </c>
      <c r="S13" s="46">
        <f t="shared" si="6"/>
        <v>0</v>
      </c>
      <c r="T13" s="46">
        <f t="shared" si="6"/>
        <v>0</v>
      </c>
      <c r="U13" s="46">
        <f t="shared" si="6"/>
        <v>0</v>
      </c>
      <c r="V13" s="46">
        <f t="shared" si="6"/>
        <v>0</v>
      </c>
      <c r="W13" s="46">
        <f t="shared" si="1"/>
        <v>0</v>
      </c>
      <c r="X13" s="46">
        <f t="shared" si="2"/>
        <v>0</v>
      </c>
      <c r="Y13" s="81"/>
      <c r="Z13" s="99" cm="1">
        <f t="array" ref="Z13">_xlfn.IFS(
    AND(Z12 &gt;= 50, Z12 &lt;= 70), 70,
    AND(Z12 &gt;= 70, Z12 &lt;= 75), 50,
    AND(Z12 &gt;= 75, Z12 &lt;= 80), 40,
    AND(Z12 &gt;= 81, Z12 &lt;= 85), 35,
    AND(Z12 &gt;= 85, Z12 &lt;= 90), 30,
    AND(Z12 &gt;= 90, Z12 &lt;= 110), 25,
 AND(Z12 &gt;= 110),0
)</f>
        <v>0</v>
      </c>
      <c r="AA13" s="100">
        <f>SUMIF(D13:L13, "&gt;2")+SUMIF(N13:V13, "&gt;2")</f>
        <v>0</v>
      </c>
      <c r="AB13" s="128">
        <v>0</v>
      </c>
      <c r="AC13" s="128">
        <v>0</v>
      </c>
      <c r="AD13" s="128">
        <v>0</v>
      </c>
      <c r="AE13" s="101">
        <f>SUM(Z13:AD13)</f>
        <v>0</v>
      </c>
      <c r="AF13" s="116"/>
      <c r="AG13" s="13" t="s">
        <v>44</v>
      </c>
      <c r="AH13" s="14">
        <v>25</v>
      </c>
      <c r="AJ13" s="36"/>
      <c r="AK13" s="119"/>
    </row>
    <row r="14" spans="2:37" ht="15.6" thickTop="1" thickBot="1">
      <c r="B14" s="48" t="s">
        <v>12</v>
      </c>
      <c r="C14" s="56">
        <v>25</v>
      </c>
      <c r="D14" s="235">
        <v>10</v>
      </c>
      <c r="E14" s="235">
        <v>10</v>
      </c>
      <c r="F14" s="235">
        <v>10</v>
      </c>
      <c r="G14" s="235">
        <v>10</v>
      </c>
      <c r="H14" s="235">
        <v>10</v>
      </c>
      <c r="I14" s="235">
        <v>10</v>
      </c>
      <c r="J14" s="235">
        <v>10</v>
      </c>
      <c r="K14" s="235">
        <v>10</v>
      </c>
      <c r="L14" s="235">
        <v>10</v>
      </c>
      <c r="M14" s="49">
        <f t="shared" si="0"/>
        <v>90</v>
      </c>
      <c r="N14" s="235">
        <v>10</v>
      </c>
      <c r="O14" s="235">
        <v>10</v>
      </c>
      <c r="P14" s="235">
        <v>10</v>
      </c>
      <c r="Q14" s="235">
        <v>10</v>
      </c>
      <c r="R14" s="235">
        <v>10</v>
      </c>
      <c r="S14" s="235">
        <v>10</v>
      </c>
      <c r="T14" s="235">
        <v>10</v>
      </c>
      <c r="U14" s="235">
        <v>10</v>
      </c>
      <c r="V14" s="235">
        <v>10</v>
      </c>
      <c r="W14" s="49">
        <f t="shared" si="1"/>
        <v>90</v>
      </c>
      <c r="X14" s="125">
        <f t="shared" si="2"/>
        <v>180</v>
      </c>
      <c r="Y14" s="82">
        <f>X15</f>
        <v>0</v>
      </c>
      <c r="Z14" s="96">
        <f>X14-C14</f>
        <v>155</v>
      </c>
      <c r="AA14" s="97"/>
      <c r="AB14" s="97"/>
      <c r="AC14" s="97"/>
      <c r="AD14" s="97"/>
      <c r="AE14" s="98"/>
      <c r="AF14" s="116">
        <v>0</v>
      </c>
      <c r="AG14" s="15" t="s">
        <v>46</v>
      </c>
      <c r="AH14" s="16" t="s">
        <v>47</v>
      </c>
      <c r="AJ14" s="37"/>
      <c r="AK14" s="123"/>
    </row>
    <row r="15" spans="2:37" ht="15.6" thickTop="1" thickBot="1">
      <c r="B15" s="50" t="s">
        <v>91</v>
      </c>
      <c r="C15" s="56"/>
      <c r="D15" s="49">
        <f>MAX(0,2+D$7+(D$8&lt;=$C14)+(D$8&lt;=MAX($C14-18,0))+(D$8&lt;=MAX($C14-36,0))-D14)*NOT(ISBLANK($C14))</f>
        <v>0</v>
      </c>
      <c r="E15" s="49">
        <f t="shared" ref="E15:L15" si="7">MAX(0,2+E$7+(E$8&lt;=$C14)+(E$8&lt;=MAX($C14-18,0))+(E$8&lt;=MAX($C14-36,0))-E14)*NOT(ISBLANK($C14))</f>
        <v>0</v>
      </c>
      <c r="F15" s="49">
        <f t="shared" si="7"/>
        <v>0</v>
      </c>
      <c r="G15" s="49">
        <f t="shared" si="7"/>
        <v>0</v>
      </c>
      <c r="H15" s="49">
        <f t="shared" si="7"/>
        <v>0</v>
      </c>
      <c r="I15" s="49">
        <f t="shared" si="7"/>
        <v>0</v>
      </c>
      <c r="J15" s="49">
        <f t="shared" si="7"/>
        <v>0</v>
      </c>
      <c r="K15" s="49">
        <f t="shared" si="7"/>
        <v>0</v>
      </c>
      <c r="L15" s="49">
        <f t="shared" si="7"/>
        <v>0</v>
      </c>
      <c r="M15" s="49">
        <f t="shared" si="0"/>
        <v>0</v>
      </c>
      <c r="N15" s="49">
        <f t="shared" ref="N15:V15" si="8">MAX(0,2+N$7+(N$8&lt;=$C14)+(N$8&lt;=MAX($C14-18,0))+(N$8&lt;=MAX($C14-36,0))-N14)*NOT(ISBLANK($C14))</f>
        <v>0</v>
      </c>
      <c r="O15" s="49">
        <f t="shared" si="8"/>
        <v>0</v>
      </c>
      <c r="P15" s="49">
        <f t="shared" si="8"/>
        <v>0</v>
      </c>
      <c r="Q15" s="49">
        <f t="shared" si="8"/>
        <v>0</v>
      </c>
      <c r="R15" s="49">
        <f t="shared" si="8"/>
        <v>0</v>
      </c>
      <c r="S15" s="49">
        <f t="shared" si="8"/>
        <v>0</v>
      </c>
      <c r="T15" s="49">
        <f t="shared" si="8"/>
        <v>0</v>
      </c>
      <c r="U15" s="49">
        <f t="shared" si="8"/>
        <v>0</v>
      </c>
      <c r="V15" s="49">
        <f t="shared" si="8"/>
        <v>0</v>
      </c>
      <c r="W15" s="49">
        <f t="shared" si="1"/>
        <v>0</v>
      </c>
      <c r="X15" s="49">
        <f t="shared" si="2"/>
        <v>0</v>
      </c>
      <c r="Y15" s="82"/>
      <c r="Z15" s="93" cm="1">
        <f t="array" ref="Z15">_xlfn.IFS(
    AND(Z14 &gt;= 50, Z14 &lt;= 70), 70,
    AND(Z14 &gt;= 70, Z14 &lt;= 75), 50,
    AND(Z14 &gt;= 75, Z14 &lt;= 80), 40,
    AND(Z14 &gt;= 81, Z14 &lt;= 85), 35,
    AND(Z14 &gt;= 85, Z14 &lt;= 90), 30,
    AND(Z14 &gt;= 90, Z14 &lt;= 110), 25,
 AND(Z14 &gt;= 110),0
)</f>
        <v>0</v>
      </c>
      <c r="AA15" s="94">
        <f>SUMIF(D15:L15, "&gt;2")+SUMIF(N15:V15, "&gt;2")</f>
        <v>0</v>
      </c>
      <c r="AB15" s="128">
        <v>0</v>
      </c>
      <c r="AC15" s="128">
        <v>0</v>
      </c>
      <c r="AD15" s="128">
        <v>0</v>
      </c>
      <c r="AE15" s="95">
        <f>SUM(Z15:AD15)</f>
        <v>0</v>
      </c>
      <c r="AF15" s="116"/>
      <c r="AG15" s="9" t="s">
        <v>49</v>
      </c>
      <c r="AH15" s="10">
        <v>5</v>
      </c>
      <c r="AJ15" s="37"/>
      <c r="AK15" s="120"/>
    </row>
    <row r="16" spans="2:37" ht="15.6" thickTop="1" thickBot="1">
      <c r="B16" s="51" t="s">
        <v>11</v>
      </c>
      <c r="C16" s="57">
        <v>18</v>
      </c>
      <c r="D16" s="236">
        <v>10</v>
      </c>
      <c r="E16" s="236">
        <v>10</v>
      </c>
      <c r="F16" s="236">
        <v>10</v>
      </c>
      <c r="G16" s="236">
        <v>10</v>
      </c>
      <c r="H16" s="236">
        <v>10</v>
      </c>
      <c r="I16" s="236">
        <v>10</v>
      </c>
      <c r="J16" s="236">
        <v>10</v>
      </c>
      <c r="K16" s="236">
        <v>10</v>
      </c>
      <c r="L16" s="236">
        <v>10</v>
      </c>
      <c r="M16" s="52">
        <f t="shared" si="0"/>
        <v>90</v>
      </c>
      <c r="N16" s="236">
        <v>10</v>
      </c>
      <c r="O16" s="236">
        <v>10</v>
      </c>
      <c r="P16" s="236">
        <v>10</v>
      </c>
      <c r="Q16" s="236">
        <v>10</v>
      </c>
      <c r="R16" s="236">
        <v>10</v>
      </c>
      <c r="S16" s="236">
        <v>10</v>
      </c>
      <c r="T16" s="236">
        <v>10</v>
      </c>
      <c r="U16" s="236">
        <v>10</v>
      </c>
      <c r="V16" s="236">
        <v>10</v>
      </c>
      <c r="W16" s="52">
        <f t="shared" si="1"/>
        <v>90</v>
      </c>
      <c r="X16" s="124">
        <f t="shared" si="2"/>
        <v>180</v>
      </c>
      <c r="Y16" s="83">
        <f t="shared" ref="Y16" si="9">X17</f>
        <v>0</v>
      </c>
      <c r="Z16" s="90">
        <f>X16-C16</f>
        <v>162</v>
      </c>
      <c r="AA16" s="91"/>
      <c r="AB16" s="91"/>
      <c r="AC16" s="91"/>
      <c r="AD16" s="91"/>
      <c r="AE16" s="92"/>
      <c r="AF16" s="116">
        <v>0</v>
      </c>
      <c r="AG16" s="11" t="s">
        <v>51</v>
      </c>
      <c r="AH16" s="12">
        <v>5</v>
      </c>
    </row>
    <row r="17" spans="2:34" ht="15.6" thickTop="1" thickBot="1">
      <c r="B17" s="53" t="s">
        <v>91</v>
      </c>
      <c r="C17" s="57"/>
      <c r="D17" s="52">
        <f t="shared" ref="D17:L17" si="10">MAX(0,2+D$7+(D$8&lt;=$C16)+(D$8&lt;=MAX($C16-18,0))+(D$8&lt;=MAX($C16-36,0))-D16)*NOT(ISBLANK($C16))</f>
        <v>0</v>
      </c>
      <c r="E17" s="52">
        <f t="shared" si="10"/>
        <v>0</v>
      </c>
      <c r="F17" s="52">
        <f t="shared" si="10"/>
        <v>0</v>
      </c>
      <c r="G17" s="52">
        <f t="shared" si="10"/>
        <v>0</v>
      </c>
      <c r="H17" s="52">
        <f t="shared" si="10"/>
        <v>0</v>
      </c>
      <c r="I17" s="52">
        <f t="shared" si="10"/>
        <v>0</v>
      </c>
      <c r="J17" s="52">
        <f t="shared" si="10"/>
        <v>0</v>
      </c>
      <c r="K17" s="52">
        <f t="shared" si="10"/>
        <v>0</v>
      </c>
      <c r="L17" s="52">
        <f t="shared" si="10"/>
        <v>0</v>
      </c>
      <c r="M17" s="52">
        <f t="shared" si="0"/>
        <v>0</v>
      </c>
      <c r="N17" s="52">
        <f t="shared" ref="N17:V17" si="11">MAX(0,2+N$7+(N$8&lt;=$C16)+(N$8&lt;=MAX($C16-18,0))+(N$8&lt;=MAX($C16-36,0))-N16)*NOT(ISBLANK($C16))</f>
        <v>0</v>
      </c>
      <c r="O17" s="52">
        <f t="shared" si="11"/>
        <v>0</v>
      </c>
      <c r="P17" s="52">
        <f t="shared" si="11"/>
        <v>0</v>
      </c>
      <c r="Q17" s="52">
        <f t="shared" si="11"/>
        <v>0</v>
      </c>
      <c r="R17" s="52">
        <f t="shared" si="11"/>
        <v>0</v>
      </c>
      <c r="S17" s="52">
        <f t="shared" si="11"/>
        <v>0</v>
      </c>
      <c r="T17" s="52">
        <f t="shared" si="11"/>
        <v>0</v>
      </c>
      <c r="U17" s="52">
        <f t="shared" si="11"/>
        <v>0</v>
      </c>
      <c r="V17" s="52">
        <f t="shared" si="11"/>
        <v>0</v>
      </c>
      <c r="W17" s="52">
        <f t="shared" si="1"/>
        <v>0</v>
      </c>
      <c r="X17" s="52">
        <f t="shared" si="2"/>
        <v>0</v>
      </c>
      <c r="Y17" s="83"/>
      <c r="Z17" s="87" cm="1">
        <f t="array" ref="Z17">_xlfn.IFS(
    AND(Z16 &gt;= 50, Z16 &lt;= 70), 70,
    AND(Z16 &gt;= 70, Z16 &lt;= 75), 50,
    AND(Z16 &gt;= 75, Z16 &lt;= 80), 40,
    AND(Z16 &gt;= 81, Z16 &lt;= 85), 35,
    AND(Z16 &gt;= 85, Z16 &lt;= 90), 30,
    AND(Z16 &gt;= 90, Z16 &lt;= 110), 25,
 AND(Z16 &gt;= 110),0
)</f>
        <v>0</v>
      </c>
      <c r="AA17" s="88">
        <f>SUMIF(D17:L17, "&gt;2")+SUMIF(N17:V17, "&gt;2")</f>
        <v>0</v>
      </c>
      <c r="AB17" s="128">
        <v>0</v>
      </c>
      <c r="AC17" s="128">
        <v>0</v>
      </c>
      <c r="AD17" s="128">
        <v>0</v>
      </c>
      <c r="AE17" s="89">
        <f>SUM(Z17:AD17)</f>
        <v>0</v>
      </c>
      <c r="AF17" s="116"/>
      <c r="AG17" s="17" t="s">
        <v>4</v>
      </c>
      <c r="AH17" s="18">
        <v>10</v>
      </c>
    </row>
    <row r="18" spans="2:34" ht="15" thickTop="1"/>
    <row r="20" spans="2:34" ht="15" thickBot="1">
      <c r="C20" s="2"/>
      <c r="O20" s="8"/>
    </row>
    <row r="21" spans="2:34" ht="15.6" thickTop="1" thickBot="1">
      <c r="B21" s="78" t="s">
        <v>92</v>
      </c>
      <c r="C21" s="46">
        <v>73</v>
      </c>
      <c r="O21" s="8"/>
    </row>
    <row r="22" spans="2:34" ht="15.6" thickTop="1" thickBot="1">
      <c r="B22" s="78" t="s">
        <v>93</v>
      </c>
      <c r="C22" s="46">
        <v>135</v>
      </c>
      <c r="O22" s="8"/>
    </row>
    <row r="23" spans="2:34" ht="15.6" thickTop="1" thickBot="1">
      <c r="B23" s="78" t="s">
        <v>88</v>
      </c>
      <c r="C23" s="46">
        <v>72</v>
      </c>
      <c r="O23" s="8"/>
    </row>
    <row r="24" spans="2:34" ht="15" thickTop="1">
      <c r="O24" s="8"/>
    </row>
    <row r="25" spans="2:34">
      <c r="O25" s="8"/>
    </row>
    <row r="26" spans="2:34">
      <c r="O26" s="8"/>
    </row>
    <row r="27" spans="2:34">
      <c r="O27" s="8"/>
    </row>
    <row r="28" spans="2:34">
      <c r="O28" s="8"/>
    </row>
  </sheetData>
  <mergeCells count="2">
    <mergeCell ref="C4:AE4"/>
    <mergeCell ref="C5:AE5"/>
  </mergeCells>
  <conditionalFormatting sqref="D11:V11">
    <cfRule type="cellIs" dxfId="11" priority="2" operator="between">
      <formula>3</formula>
      <formula>5</formula>
    </cfRule>
  </conditionalFormatting>
  <conditionalFormatting sqref="D13:V13 D15:V15 D17:V17">
    <cfRule type="cellIs" dxfId="10" priority="1" operator="between">
      <formula>3</formula>
      <formula>5</formula>
    </cfRule>
  </conditionalFormatting>
  <pageMargins left="0.7" right="0.7" top="0.75" bottom="0.75" header="0.3" footer="0.3"/>
  <headerFooter>
    <oddFooter>&amp;C_x000D_&amp;1#&amp;"Calibri"&amp;10&amp;K000000 OFFICIAL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9DDEA-194C-4ADA-93A5-B335DBB13FCA}">
  <dimension ref="B3:AK28"/>
  <sheetViews>
    <sheetView showGridLines="0" zoomScale="99" workbookViewId="0">
      <selection activeCell="AC52" sqref="AC52"/>
    </sheetView>
  </sheetViews>
  <sheetFormatPr defaultColWidth="8.85546875" defaultRowHeight="14.45"/>
  <cols>
    <col min="1" max="1" width="8.85546875" style="5"/>
    <col min="2" max="2" width="13.42578125" style="1" customWidth="1"/>
    <col min="3" max="3" width="7.140625" style="1" customWidth="1"/>
    <col min="4" max="5" width="5.42578125" style="4" customWidth="1"/>
    <col min="6" max="6" width="5.7109375" style="4" customWidth="1"/>
    <col min="7" max="7" width="5.85546875" style="4" customWidth="1"/>
    <col min="8" max="8" width="5.42578125" style="4" customWidth="1"/>
    <col min="9" max="9" width="6" style="4" customWidth="1"/>
    <col min="10" max="10" width="5.7109375" style="4" customWidth="1"/>
    <col min="11" max="11" width="6" style="4" customWidth="1"/>
    <col min="12" max="12" width="5.42578125" style="4" customWidth="1"/>
    <col min="13" max="13" width="6.85546875" style="3" customWidth="1"/>
    <col min="14" max="14" width="6" style="4" customWidth="1"/>
    <col min="15" max="15" width="5.85546875" style="4" customWidth="1"/>
    <col min="16" max="16" width="6.140625" style="4" customWidth="1"/>
    <col min="17" max="19" width="5.42578125" style="4" customWidth="1"/>
    <col min="20" max="20" width="5.28515625" style="4" customWidth="1"/>
    <col min="21" max="21" width="5.140625" style="4" customWidth="1"/>
    <col min="22" max="22" width="5.42578125" style="4" customWidth="1"/>
    <col min="23" max="23" width="7.28515625" style="3" customWidth="1"/>
    <col min="24" max="24" width="5.7109375" style="3" customWidth="1"/>
    <col min="25" max="25" width="6.5703125" style="3" customWidth="1"/>
    <col min="26" max="32" width="8.85546875" style="5"/>
    <col min="33" max="33" width="9.7109375" style="5" bestFit="1" customWidth="1"/>
    <col min="34" max="34" width="11.42578125" style="5" bestFit="1" customWidth="1"/>
    <col min="35" max="35" width="8.85546875" style="5"/>
    <col min="36" max="36" width="7.28515625" style="5" customWidth="1"/>
    <col min="37" max="37" width="13.85546875" style="5" bestFit="1" customWidth="1"/>
    <col min="38" max="16384" width="8.85546875" style="5"/>
  </cols>
  <sheetData>
    <row r="3" spans="2:37" ht="15" thickBot="1"/>
    <row r="4" spans="2:37" ht="15.6" thickTop="1" thickBot="1">
      <c r="C4" s="268" t="s">
        <v>82</v>
      </c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69"/>
    </row>
    <row r="5" spans="2:37" ht="15.6" thickTop="1" thickBot="1">
      <c r="C5" s="268" t="s">
        <v>83</v>
      </c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70"/>
      <c r="AA5" s="270"/>
      <c r="AB5" s="270"/>
      <c r="AC5" s="270"/>
      <c r="AD5" s="270"/>
      <c r="AE5" s="270"/>
    </row>
    <row r="6" spans="2:37" s="1" customFormat="1" ht="15.6" thickTop="1" thickBot="1">
      <c r="C6" s="38" t="s">
        <v>84</v>
      </c>
      <c r="D6" s="39">
        <v>1</v>
      </c>
      <c r="E6" s="39">
        <v>2</v>
      </c>
      <c r="F6" s="39">
        <v>3</v>
      </c>
      <c r="G6" s="39">
        <v>4</v>
      </c>
      <c r="H6" s="39">
        <v>5</v>
      </c>
      <c r="I6" s="39">
        <v>6</v>
      </c>
      <c r="J6" s="39">
        <v>7</v>
      </c>
      <c r="K6" s="39">
        <v>8</v>
      </c>
      <c r="L6" s="39">
        <v>9</v>
      </c>
      <c r="M6" s="39" t="s">
        <v>85</v>
      </c>
      <c r="N6" s="39">
        <v>10</v>
      </c>
      <c r="O6" s="39">
        <v>11</v>
      </c>
      <c r="P6" s="39">
        <v>12</v>
      </c>
      <c r="Q6" s="39">
        <v>13</v>
      </c>
      <c r="R6" s="39">
        <v>14</v>
      </c>
      <c r="S6" s="39">
        <v>15</v>
      </c>
      <c r="T6" s="39">
        <v>16</v>
      </c>
      <c r="U6" s="39">
        <v>17</v>
      </c>
      <c r="V6" s="39">
        <v>18</v>
      </c>
      <c r="W6" s="39" t="s">
        <v>86</v>
      </c>
      <c r="X6" s="39" t="s">
        <v>7</v>
      </c>
      <c r="Y6" s="78" t="s">
        <v>87</v>
      </c>
      <c r="Z6" s="84" t="s">
        <v>2</v>
      </c>
      <c r="AA6" s="85" t="s">
        <v>3</v>
      </c>
      <c r="AB6" s="85" t="s">
        <v>4</v>
      </c>
      <c r="AC6" s="85" t="s">
        <v>5</v>
      </c>
      <c r="AD6" s="85" t="s">
        <v>6</v>
      </c>
      <c r="AE6" s="86" t="s">
        <v>7</v>
      </c>
      <c r="AF6" s="86" t="s">
        <v>9</v>
      </c>
    </row>
    <row r="7" spans="2:37" s="1" customFormat="1" ht="15.6" thickTop="1" thickBot="1">
      <c r="C7" s="38" t="s">
        <v>88</v>
      </c>
      <c r="D7" s="39">
        <v>4</v>
      </c>
      <c r="E7" s="39">
        <v>5</v>
      </c>
      <c r="F7" s="39">
        <v>4</v>
      </c>
      <c r="G7" s="39">
        <v>3</v>
      </c>
      <c r="H7" s="39">
        <v>4</v>
      </c>
      <c r="I7" s="39">
        <v>4</v>
      </c>
      <c r="J7" s="39">
        <v>3</v>
      </c>
      <c r="K7" s="39">
        <v>5</v>
      </c>
      <c r="L7" s="39">
        <v>4</v>
      </c>
      <c r="M7" s="39">
        <f>SUM(D7:L7)</f>
        <v>36</v>
      </c>
      <c r="N7" s="39">
        <v>5</v>
      </c>
      <c r="O7" s="39">
        <v>4</v>
      </c>
      <c r="P7" s="39">
        <v>3</v>
      </c>
      <c r="Q7" s="39">
        <v>4</v>
      </c>
      <c r="R7" s="39">
        <v>4</v>
      </c>
      <c r="S7" s="39">
        <v>3</v>
      </c>
      <c r="T7" s="39">
        <v>4</v>
      </c>
      <c r="U7" s="39">
        <v>4</v>
      </c>
      <c r="V7" s="39">
        <v>5</v>
      </c>
      <c r="W7" s="39">
        <f>SUM(N7:V7)</f>
        <v>36</v>
      </c>
      <c r="X7" s="39">
        <f>M7+W7</f>
        <v>72</v>
      </c>
      <c r="Y7" s="78"/>
      <c r="Z7" s="111"/>
      <c r="AA7" s="112" t="s">
        <v>18</v>
      </c>
      <c r="AB7" s="112" t="s">
        <v>18</v>
      </c>
      <c r="AC7" s="112" t="s">
        <v>18</v>
      </c>
      <c r="AD7" s="112" t="s">
        <v>18</v>
      </c>
      <c r="AE7" s="113" t="s">
        <v>18</v>
      </c>
      <c r="AF7" s="86"/>
      <c r="AG7" s="6" t="s">
        <v>17</v>
      </c>
      <c r="AH7" s="7" t="s">
        <v>18</v>
      </c>
      <c r="AJ7" s="121"/>
      <c r="AK7" s="121"/>
    </row>
    <row r="8" spans="2:37" s="1" customFormat="1" ht="15.6" thickTop="1" thickBot="1">
      <c r="C8" s="38" t="s">
        <v>89</v>
      </c>
      <c r="D8" s="39">
        <v>5</v>
      </c>
      <c r="E8" s="39">
        <v>9</v>
      </c>
      <c r="F8" s="39">
        <v>3</v>
      </c>
      <c r="G8" s="39">
        <v>14</v>
      </c>
      <c r="H8" s="39">
        <v>11</v>
      </c>
      <c r="I8" s="39">
        <v>15</v>
      </c>
      <c r="J8" s="39">
        <v>18</v>
      </c>
      <c r="K8" s="39">
        <v>13</v>
      </c>
      <c r="L8" s="39">
        <v>1</v>
      </c>
      <c r="M8" s="39"/>
      <c r="N8" s="39">
        <v>12</v>
      </c>
      <c r="O8" s="39">
        <v>10</v>
      </c>
      <c r="P8" s="39">
        <v>16</v>
      </c>
      <c r="Q8" s="39">
        <v>8</v>
      </c>
      <c r="R8" s="39">
        <v>2</v>
      </c>
      <c r="S8" s="39">
        <v>17</v>
      </c>
      <c r="T8" s="39">
        <v>6</v>
      </c>
      <c r="U8" s="39">
        <v>7</v>
      </c>
      <c r="V8" s="39">
        <v>4</v>
      </c>
      <c r="W8" s="39"/>
      <c r="X8" s="39"/>
      <c r="Y8" s="78"/>
      <c r="Z8" s="114"/>
      <c r="AA8" s="115"/>
      <c r="AB8" s="115"/>
      <c r="AC8" s="115"/>
      <c r="AD8" s="115"/>
      <c r="AE8" s="116"/>
      <c r="AF8" s="116"/>
      <c r="AG8" s="9" t="s">
        <v>27</v>
      </c>
      <c r="AH8" s="10">
        <v>70</v>
      </c>
      <c r="AJ8" s="122"/>
      <c r="AK8" s="123"/>
    </row>
    <row r="9" spans="2:37" ht="15.6" thickTop="1" thickBot="1">
      <c r="C9" s="40" t="s">
        <v>90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79"/>
      <c r="Z9" s="111"/>
      <c r="AA9" s="112"/>
      <c r="AB9" s="112"/>
      <c r="AC9" s="112"/>
      <c r="AD9" s="112"/>
      <c r="AE9" s="113"/>
      <c r="AF9" s="116"/>
      <c r="AG9" s="11" t="s">
        <v>32</v>
      </c>
      <c r="AH9" s="12">
        <v>50</v>
      </c>
      <c r="AJ9" s="122"/>
      <c r="AK9" s="117"/>
    </row>
    <row r="10" spans="2:37" ht="15.6" thickTop="1" thickBot="1">
      <c r="B10" s="42" t="s">
        <v>13</v>
      </c>
      <c r="C10" s="54">
        <v>15</v>
      </c>
      <c r="D10" s="43">
        <v>10</v>
      </c>
      <c r="E10" s="43">
        <v>10</v>
      </c>
      <c r="F10" s="43">
        <v>10</v>
      </c>
      <c r="G10" s="43">
        <v>10</v>
      </c>
      <c r="H10" s="43">
        <v>10</v>
      </c>
      <c r="I10" s="43">
        <v>10</v>
      </c>
      <c r="J10" s="43">
        <v>10</v>
      </c>
      <c r="K10" s="43">
        <v>10</v>
      </c>
      <c r="L10" s="43">
        <v>10</v>
      </c>
      <c r="M10" s="43">
        <f t="shared" ref="M10:M17" si="0">SUM(D10:L10)</f>
        <v>90</v>
      </c>
      <c r="N10" s="43">
        <v>10</v>
      </c>
      <c r="O10" s="43">
        <v>10</v>
      </c>
      <c r="P10" s="43">
        <v>10</v>
      </c>
      <c r="Q10" s="43">
        <v>10</v>
      </c>
      <c r="R10" s="43">
        <v>10</v>
      </c>
      <c r="S10" s="43">
        <v>10</v>
      </c>
      <c r="T10" s="43">
        <v>10</v>
      </c>
      <c r="U10" s="43">
        <v>10</v>
      </c>
      <c r="V10" s="43">
        <v>10</v>
      </c>
      <c r="W10" s="43">
        <f t="shared" ref="W10:W17" si="1">SUM(N10:V10)</f>
        <v>90</v>
      </c>
      <c r="X10" s="127">
        <f t="shared" ref="X10:X17" si="2">+M10+W10</f>
        <v>180</v>
      </c>
      <c r="Y10" s="80">
        <f>X11</f>
        <v>0</v>
      </c>
      <c r="Z10" s="108">
        <f>X10-C10</f>
        <v>165</v>
      </c>
      <c r="AA10" s="109"/>
      <c r="AB10" s="109"/>
      <c r="AC10" s="109"/>
      <c r="AD10" s="109"/>
      <c r="AE10" s="110"/>
      <c r="AF10" s="116">
        <v>0</v>
      </c>
      <c r="AG10" s="11" t="s">
        <v>37</v>
      </c>
      <c r="AH10" s="12">
        <v>40</v>
      </c>
      <c r="AJ10" s="35"/>
      <c r="AK10" s="123"/>
    </row>
    <row r="11" spans="2:37" ht="15.6" thickTop="1" thickBot="1">
      <c r="B11" s="44" t="s">
        <v>91</v>
      </c>
      <c r="C11" s="54"/>
      <c r="D11" s="43">
        <f>MAX(0,2+D$7+(D$8&lt;=$C10)+(D$8&lt;=MAX($C10-18,0))+(D$8&lt;=MAX($C10-36,0))-D10)*NOT(ISBLANK($C10))</f>
        <v>0</v>
      </c>
      <c r="E11" s="43">
        <f t="shared" ref="E11:L11" si="3">MAX(0,2+E$7+(E$8&lt;=$C10)+(E$8&lt;=MAX($C10-18,0))+(E$8&lt;=MAX($C10-36,0))-E10)*NOT(ISBLANK($C10))</f>
        <v>0</v>
      </c>
      <c r="F11" s="43">
        <f t="shared" si="3"/>
        <v>0</v>
      </c>
      <c r="G11" s="43">
        <f t="shared" si="3"/>
        <v>0</v>
      </c>
      <c r="H11" s="43">
        <f t="shared" si="3"/>
        <v>0</v>
      </c>
      <c r="I11" s="43">
        <f t="shared" si="3"/>
        <v>0</v>
      </c>
      <c r="J11" s="43">
        <f t="shared" si="3"/>
        <v>0</v>
      </c>
      <c r="K11" s="43">
        <f t="shared" si="3"/>
        <v>0</v>
      </c>
      <c r="L11" s="43">
        <f t="shared" si="3"/>
        <v>0</v>
      </c>
      <c r="M11" s="43">
        <f t="shared" si="0"/>
        <v>0</v>
      </c>
      <c r="N11" s="43">
        <f t="shared" ref="N11:V11" si="4">MAX(0,2+N$7+(N$8&lt;=$C10)+(N$8&lt;=MAX($C10-18,0))+(N$8&lt;=MAX($C10-36,0))-N10)*NOT(ISBLANK($C10))</f>
        <v>0</v>
      </c>
      <c r="O11" s="43">
        <f t="shared" si="4"/>
        <v>0</v>
      </c>
      <c r="P11" s="43">
        <f t="shared" si="4"/>
        <v>0</v>
      </c>
      <c r="Q11" s="43">
        <f t="shared" si="4"/>
        <v>0</v>
      </c>
      <c r="R11" s="43">
        <f t="shared" si="4"/>
        <v>0</v>
      </c>
      <c r="S11" s="43">
        <f t="shared" si="4"/>
        <v>0</v>
      </c>
      <c r="T11" s="43">
        <f t="shared" si="4"/>
        <v>0</v>
      </c>
      <c r="U11" s="43">
        <f t="shared" si="4"/>
        <v>0</v>
      </c>
      <c r="V11" s="43">
        <f t="shared" si="4"/>
        <v>0</v>
      </c>
      <c r="W11" s="43">
        <f t="shared" si="1"/>
        <v>0</v>
      </c>
      <c r="X11" s="43">
        <f t="shared" si="2"/>
        <v>0</v>
      </c>
      <c r="Y11" s="80"/>
      <c r="Z11" s="105" cm="1">
        <f t="array" ref="Z11">_xlfn.IFS(
    AND(Z10 &gt;= 50, Z10 &lt;= 70), 70,
    AND(Z10 &gt;= 70, Z10 &lt;= 75), 50,
    AND(Z10 &gt;= 75, Z10 &lt;= 80), 40,
    AND(Z10 &gt;= 81, Z10 &lt;= 85), 35,
    AND(Z10 &gt;= 85, Z10 &lt;= 90), 30,
    AND(Z10 &gt;= 90, Z10 &lt;= 110), 25,
 AND(Z10 &gt;= 110),0
)</f>
        <v>0</v>
      </c>
      <c r="AA11" s="106">
        <f>SUMIF(D11:L11, "&gt;2")+SUMIF(N11:V11, "&gt;2")</f>
        <v>0</v>
      </c>
      <c r="AB11" s="128">
        <v>0</v>
      </c>
      <c r="AC11" s="128">
        <v>0</v>
      </c>
      <c r="AD11" s="128">
        <v>0</v>
      </c>
      <c r="AE11" s="107">
        <f>SUM(Z11:AD11)</f>
        <v>0</v>
      </c>
      <c r="AF11" s="116"/>
      <c r="AG11" s="11" t="s">
        <v>40</v>
      </c>
      <c r="AH11" s="12">
        <v>35</v>
      </c>
      <c r="AJ11" s="35"/>
      <c r="AK11" s="118"/>
    </row>
    <row r="12" spans="2:37" ht="15.6" thickTop="1" thickBot="1">
      <c r="B12" s="45" t="s">
        <v>14</v>
      </c>
      <c r="C12" s="55">
        <v>20</v>
      </c>
      <c r="D12" s="234">
        <v>10</v>
      </c>
      <c r="E12" s="234">
        <v>10</v>
      </c>
      <c r="F12" s="234">
        <v>10</v>
      </c>
      <c r="G12" s="234">
        <v>10</v>
      </c>
      <c r="H12" s="234">
        <v>10</v>
      </c>
      <c r="I12" s="234">
        <v>10</v>
      </c>
      <c r="J12" s="234">
        <v>10</v>
      </c>
      <c r="K12" s="234">
        <v>10</v>
      </c>
      <c r="L12" s="234">
        <v>10</v>
      </c>
      <c r="M12" s="46">
        <f t="shared" si="0"/>
        <v>90</v>
      </c>
      <c r="N12" s="234">
        <v>10</v>
      </c>
      <c r="O12" s="234">
        <v>10</v>
      </c>
      <c r="P12" s="234">
        <v>10</v>
      </c>
      <c r="Q12" s="234">
        <v>10</v>
      </c>
      <c r="R12" s="234">
        <v>10</v>
      </c>
      <c r="S12" s="234">
        <v>10</v>
      </c>
      <c r="T12" s="234">
        <v>10</v>
      </c>
      <c r="U12" s="234">
        <v>10</v>
      </c>
      <c r="V12" s="234">
        <v>10</v>
      </c>
      <c r="W12" s="46">
        <f t="shared" si="1"/>
        <v>90</v>
      </c>
      <c r="X12" s="126">
        <f t="shared" si="2"/>
        <v>180</v>
      </c>
      <c r="Y12" s="81">
        <f>X13</f>
        <v>0</v>
      </c>
      <c r="Z12" s="102">
        <f>X12-C12</f>
        <v>160</v>
      </c>
      <c r="AA12" s="103"/>
      <c r="AB12" s="103"/>
      <c r="AC12" s="103"/>
      <c r="AD12" s="103"/>
      <c r="AE12" s="104"/>
      <c r="AF12" s="116">
        <v>0</v>
      </c>
      <c r="AG12" s="11" t="s">
        <v>42</v>
      </c>
      <c r="AH12" s="12">
        <v>30</v>
      </c>
      <c r="AJ12" s="36"/>
      <c r="AK12" s="123"/>
    </row>
    <row r="13" spans="2:37" ht="15.6" thickTop="1" thickBot="1">
      <c r="B13" s="47" t="s">
        <v>91</v>
      </c>
      <c r="C13" s="55"/>
      <c r="D13" s="46">
        <f>MAX(0,2+D$7+(D$8&lt;=$C12)+(D$8&lt;=MAX($C12-18,0))+(D$8&lt;=MAX($C12-36,0))-D12)*NOT(ISBLANK($C12))</f>
        <v>0</v>
      </c>
      <c r="E13" s="46">
        <f t="shared" ref="E13:L13" si="5">MAX(0,2+E$7+(E$8&lt;=$C12)+(E$8&lt;=MAX($C12-18,0))+(E$8&lt;=MAX($C12-36,0))-E12)*NOT(ISBLANK($C12))</f>
        <v>0</v>
      </c>
      <c r="F13" s="46">
        <f t="shared" si="5"/>
        <v>0</v>
      </c>
      <c r="G13" s="46">
        <f t="shared" si="5"/>
        <v>0</v>
      </c>
      <c r="H13" s="46">
        <f t="shared" si="5"/>
        <v>0</v>
      </c>
      <c r="I13" s="46">
        <f t="shared" si="5"/>
        <v>0</v>
      </c>
      <c r="J13" s="46">
        <f t="shared" si="5"/>
        <v>0</v>
      </c>
      <c r="K13" s="46">
        <f t="shared" si="5"/>
        <v>0</v>
      </c>
      <c r="L13" s="46">
        <f t="shared" si="5"/>
        <v>0</v>
      </c>
      <c r="M13" s="46">
        <f t="shared" si="0"/>
        <v>0</v>
      </c>
      <c r="N13" s="46">
        <f t="shared" ref="N13:V13" si="6">MAX(0,2+N$7+(N$8&lt;=$C12)+(N$8&lt;=MAX($C12-18,0))+(N$8&lt;=MAX($C12-36,0))-N12)*NOT(ISBLANK($C12))</f>
        <v>0</v>
      </c>
      <c r="O13" s="46">
        <f t="shared" si="6"/>
        <v>0</v>
      </c>
      <c r="P13" s="46">
        <f t="shared" si="6"/>
        <v>0</v>
      </c>
      <c r="Q13" s="46">
        <f t="shared" si="6"/>
        <v>0</v>
      </c>
      <c r="R13" s="46">
        <f t="shared" si="6"/>
        <v>0</v>
      </c>
      <c r="S13" s="46">
        <f t="shared" si="6"/>
        <v>0</v>
      </c>
      <c r="T13" s="46">
        <f t="shared" si="6"/>
        <v>0</v>
      </c>
      <c r="U13" s="46">
        <f t="shared" si="6"/>
        <v>0</v>
      </c>
      <c r="V13" s="46">
        <f t="shared" si="6"/>
        <v>0</v>
      </c>
      <c r="W13" s="46">
        <f t="shared" si="1"/>
        <v>0</v>
      </c>
      <c r="X13" s="46">
        <f t="shared" si="2"/>
        <v>0</v>
      </c>
      <c r="Y13" s="81"/>
      <c r="Z13" s="99" cm="1">
        <f t="array" ref="Z13">_xlfn.IFS(
    AND(Z12 &gt;= 50, Z12 &lt;= 70), 70,
    AND(Z12 &gt;= 70, Z12 &lt;= 75), 50,
    AND(Z12 &gt;= 75, Z12 &lt;= 80), 40,
    AND(Z12 &gt;= 81, Z12 &lt;= 85), 35,
    AND(Z12 &gt;= 85, Z12 &lt;= 90), 30,
    AND(Z12 &gt;= 90, Z12 &lt;= 110), 25,
 AND(Z12 &gt;= 110),0
)</f>
        <v>0</v>
      </c>
      <c r="AA13" s="100">
        <f>SUMIF(D13:L13, "&gt;2")+SUMIF(N13:V13, "&gt;2")</f>
        <v>0</v>
      </c>
      <c r="AB13" s="128">
        <v>0</v>
      </c>
      <c r="AC13" s="128">
        <v>0</v>
      </c>
      <c r="AD13" s="128">
        <v>0</v>
      </c>
      <c r="AE13" s="101">
        <f>SUM(Z13:AD13)</f>
        <v>0</v>
      </c>
      <c r="AF13" s="116"/>
      <c r="AG13" s="13" t="s">
        <v>44</v>
      </c>
      <c r="AH13" s="14">
        <v>25</v>
      </c>
      <c r="AJ13" s="36"/>
      <c r="AK13" s="119"/>
    </row>
    <row r="14" spans="2:37" ht="15.6" thickTop="1" thickBot="1">
      <c r="B14" s="48" t="s">
        <v>12</v>
      </c>
      <c r="C14" s="56">
        <v>25</v>
      </c>
      <c r="D14" s="235">
        <v>10</v>
      </c>
      <c r="E14" s="235">
        <v>10</v>
      </c>
      <c r="F14" s="235">
        <v>10</v>
      </c>
      <c r="G14" s="235">
        <v>10</v>
      </c>
      <c r="H14" s="235">
        <v>10</v>
      </c>
      <c r="I14" s="235">
        <v>10</v>
      </c>
      <c r="J14" s="235">
        <v>10</v>
      </c>
      <c r="K14" s="235">
        <v>10</v>
      </c>
      <c r="L14" s="235">
        <v>10</v>
      </c>
      <c r="M14" s="49">
        <f t="shared" si="0"/>
        <v>90</v>
      </c>
      <c r="N14" s="235">
        <v>10</v>
      </c>
      <c r="O14" s="235">
        <v>10</v>
      </c>
      <c r="P14" s="235">
        <v>10</v>
      </c>
      <c r="Q14" s="235">
        <v>10</v>
      </c>
      <c r="R14" s="235">
        <v>10</v>
      </c>
      <c r="S14" s="235">
        <v>10</v>
      </c>
      <c r="T14" s="235">
        <v>10</v>
      </c>
      <c r="U14" s="235">
        <v>10</v>
      </c>
      <c r="V14" s="235">
        <v>10</v>
      </c>
      <c r="W14" s="49">
        <f t="shared" si="1"/>
        <v>90</v>
      </c>
      <c r="X14" s="125">
        <f t="shared" si="2"/>
        <v>180</v>
      </c>
      <c r="Y14" s="82">
        <f>X15</f>
        <v>0</v>
      </c>
      <c r="Z14" s="96">
        <f>X14-C14</f>
        <v>155</v>
      </c>
      <c r="AA14" s="97"/>
      <c r="AB14" s="97"/>
      <c r="AC14" s="97"/>
      <c r="AD14" s="97"/>
      <c r="AE14" s="98"/>
      <c r="AF14" s="116">
        <v>0</v>
      </c>
      <c r="AG14" s="15" t="s">
        <v>46</v>
      </c>
      <c r="AH14" s="16" t="s">
        <v>47</v>
      </c>
      <c r="AJ14" s="37"/>
      <c r="AK14" s="123"/>
    </row>
    <row r="15" spans="2:37" ht="15.6" thickTop="1" thickBot="1">
      <c r="B15" s="50" t="s">
        <v>91</v>
      </c>
      <c r="C15" s="56"/>
      <c r="D15" s="49">
        <f>MAX(0,2+D$7+(D$8&lt;=$C14)+(D$8&lt;=MAX($C14-18,0))+(D$8&lt;=MAX($C14-36,0))-D14)*NOT(ISBLANK($C14))</f>
        <v>0</v>
      </c>
      <c r="E15" s="49">
        <f t="shared" ref="E15:L15" si="7">MAX(0,2+E$7+(E$8&lt;=$C14)+(E$8&lt;=MAX($C14-18,0))+(E$8&lt;=MAX($C14-36,0))-E14)*NOT(ISBLANK($C14))</f>
        <v>0</v>
      </c>
      <c r="F15" s="49">
        <f t="shared" si="7"/>
        <v>0</v>
      </c>
      <c r="G15" s="49">
        <f t="shared" si="7"/>
        <v>0</v>
      </c>
      <c r="H15" s="49">
        <f t="shared" si="7"/>
        <v>0</v>
      </c>
      <c r="I15" s="49">
        <f t="shared" si="7"/>
        <v>0</v>
      </c>
      <c r="J15" s="49">
        <f t="shared" si="7"/>
        <v>0</v>
      </c>
      <c r="K15" s="49">
        <f t="shared" si="7"/>
        <v>0</v>
      </c>
      <c r="L15" s="49">
        <f t="shared" si="7"/>
        <v>0</v>
      </c>
      <c r="M15" s="49">
        <f t="shared" si="0"/>
        <v>0</v>
      </c>
      <c r="N15" s="49">
        <f t="shared" ref="N15:V15" si="8">MAX(0,2+N$7+(N$8&lt;=$C14)+(N$8&lt;=MAX($C14-18,0))+(N$8&lt;=MAX($C14-36,0))-N14)*NOT(ISBLANK($C14))</f>
        <v>0</v>
      </c>
      <c r="O15" s="49">
        <f t="shared" si="8"/>
        <v>0</v>
      </c>
      <c r="P15" s="49">
        <f t="shared" si="8"/>
        <v>0</v>
      </c>
      <c r="Q15" s="49">
        <f t="shared" si="8"/>
        <v>0</v>
      </c>
      <c r="R15" s="49">
        <f t="shared" si="8"/>
        <v>0</v>
      </c>
      <c r="S15" s="49">
        <f t="shared" si="8"/>
        <v>0</v>
      </c>
      <c r="T15" s="49">
        <f t="shared" si="8"/>
        <v>0</v>
      </c>
      <c r="U15" s="49">
        <f t="shared" si="8"/>
        <v>0</v>
      </c>
      <c r="V15" s="49">
        <f t="shared" si="8"/>
        <v>0</v>
      </c>
      <c r="W15" s="49">
        <f t="shared" si="1"/>
        <v>0</v>
      </c>
      <c r="X15" s="49">
        <f t="shared" si="2"/>
        <v>0</v>
      </c>
      <c r="Y15" s="82"/>
      <c r="Z15" s="93" cm="1">
        <f t="array" ref="Z15">_xlfn.IFS(
    AND(Z14 &gt;= 50, Z14 &lt;= 70), 70,
    AND(Z14 &gt;= 70, Z14 &lt;= 75), 50,
    AND(Z14 &gt;= 75, Z14 &lt;= 80), 40,
    AND(Z14 &gt;= 81, Z14 &lt;= 85), 35,
    AND(Z14 &gt;= 85, Z14 &lt;= 90), 30,
    AND(Z14 &gt;= 90, Z14 &lt;= 110), 25,
 AND(Z14 &gt;= 110),0
)</f>
        <v>0</v>
      </c>
      <c r="AA15" s="94">
        <f>SUMIF(D15:L15, "&gt;2")+SUMIF(N15:V15, "&gt;2")</f>
        <v>0</v>
      </c>
      <c r="AB15" s="128">
        <v>0</v>
      </c>
      <c r="AC15" s="128">
        <v>0</v>
      </c>
      <c r="AD15" s="128">
        <v>0</v>
      </c>
      <c r="AE15" s="95">
        <f>SUM(Z15:AD15)</f>
        <v>0</v>
      </c>
      <c r="AF15" s="116"/>
      <c r="AG15" s="9" t="s">
        <v>49</v>
      </c>
      <c r="AH15" s="10">
        <v>5</v>
      </c>
      <c r="AJ15" s="37"/>
      <c r="AK15" s="120"/>
    </row>
    <row r="16" spans="2:37" ht="15.6" thickTop="1" thickBot="1">
      <c r="B16" s="51" t="s">
        <v>11</v>
      </c>
      <c r="C16" s="57">
        <v>18</v>
      </c>
      <c r="D16" s="236">
        <v>10</v>
      </c>
      <c r="E16" s="236">
        <v>10</v>
      </c>
      <c r="F16" s="236">
        <v>10</v>
      </c>
      <c r="G16" s="236">
        <v>10</v>
      </c>
      <c r="H16" s="236">
        <v>10</v>
      </c>
      <c r="I16" s="236">
        <v>10</v>
      </c>
      <c r="J16" s="236">
        <v>10</v>
      </c>
      <c r="K16" s="236">
        <v>10</v>
      </c>
      <c r="L16" s="236">
        <v>10</v>
      </c>
      <c r="M16" s="52">
        <f t="shared" si="0"/>
        <v>90</v>
      </c>
      <c r="N16" s="236">
        <v>10</v>
      </c>
      <c r="O16" s="236">
        <v>10</v>
      </c>
      <c r="P16" s="236">
        <v>10</v>
      </c>
      <c r="Q16" s="236">
        <v>10</v>
      </c>
      <c r="R16" s="236">
        <v>10</v>
      </c>
      <c r="S16" s="236">
        <v>10</v>
      </c>
      <c r="T16" s="236">
        <v>10</v>
      </c>
      <c r="U16" s="236">
        <v>10</v>
      </c>
      <c r="V16" s="236">
        <v>10</v>
      </c>
      <c r="W16" s="52">
        <f t="shared" si="1"/>
        <v>90</v>
      </c>
      <c r="X16" s="124">
        <f t="shared" si="2"/>
        <v>180</v>
      </c>
      <c r="Y16" s="83">
        <f t="shared" ref="Y16" si="9">X17</f>
        <v>0</v>
      </c>
      <c r="Z16" s="90">
        <f>X16-C16</f>
        <v>162</v>
      </c>
      <c r="AA16" s="91"/>
      <c r="AB16" s="91"/>
      <c r="AC16" s="91"/>
      <c r="AD16" s="91"/>
      <c r="AE16" s="92"/>
      <c r="AF16" s="116">
        <v>0</v>
      </c>
      <c r="AG16" s="11" t="s">
        <v>51</v>
      </c>
      <c r="AH16" s="12">
        <v>5</v>
      </c>
    </row>
    <row r="17" spans="2:34" ht="15.6" thickTop="1" thickBot="1">
      <c r="B17" s="53" t="s">
        <v>91</v>
      </c>
      <c r="C17" s="57"/>
      <c r="D17" s="52">
        <f t="shared" ref="D17:L17" si="10">MAX(0,2+D$7+(D$8&lt;=$C16)+(D$8&lt;=MAX($C16-18,0))+(D$8&lt;=MAX($C16-36,0))-D16)*NOT(ISBLANK($C16))</f>
        <v>0</v>
      </c>
      <c r="E17" s="52">
        <f t="shared" si="10"/>
        <v>0</v>
      </c>
      <c r="F17" s="52">
        <f t="shared" si="10"/>
        <v>0</v>
      </c>
      <c r="G17" s="52">
        <f t="shared" si="10"/>
        <v>0</v>
      </c>
      <c r="H17" s="52">
        <f t="shared" si="10"/>
        <v>0</v>
      </c>
      <c r="I17" s="52">
        <f t="shared" si="10"/>
        <v>0</v>
      </c>
      <c r="J17" s="52">
        <f t="shared" si="10"/>
        <v>0</v>
      </c>
      <c r="K17" s="52">
        <f t="shared" si="10"/>
        <v>0</v>
      </c>
      <c r="L17" s="52">
        <f t="shared" si="10"/>
        <v>0</v>
      </c>
      <c r="M17" s="52">
        <f t="shared" si="0"/>
        <v>0</v>
      </c>
      <c r="N17" s="52">
        <f t="shared" ref="N17:V17" si="11">MAX(0,2+N$7+(N$8&lt;=$C16)+(N$8&lt;=MAX($C16-18,0))+(N$8&lt;=MAX($C16-36,0))-N16)*NOT(ISBLANK($C16))</f>
        <v>0</v>
      </c>
      <c r="O17" s="52">
        <f t="shared" si="11"/>
        <v>0</v>
      </c>
      <c r="P17" s="52">
        <f t="shared" si="11"/>
        <v>0</v>
      </c>
      <c r="Q17" s="52">
        <f t="shared" si="11"/>
        <v>0</v>
      </c>
      <c r="R17" s="52">
        <f t="shared" si="11"/>
        <v>0</v>
      </c>
      <c r="S17" s="52">
        <f t="shared" si="11"/>
        <v>0</v>
      </c>
      <c r="T17" s="52">
        <f t="shared" si="11"/>
        <v>0</v>
      </c>
      <c r="U17" s="52">
        <f t="shared" si="11"/>
        <v>0</v>
      </c>
      <c r="V17" s="52">
        <f t="shared" si="11"/>
        <v>0</v>
      </c>
      <c r="W17" s="52">
        <f t="shared" si="1"/>
        <v>0</v>
      </c>
      <c r="X17" s="52">
        <f t="shared" si="2"/>
        <v>0</v>
      </c>
      <c r="Y17" s="83"/>
      <c r="Z17" s="87" cm="1">
        <f t="array" ref="Z17">_xlfn.IFS(
    AND(Z16 &gt;= 50, Z16 &lt;= 70), 70,
    AND(Z16 &gt;= 70, Z16 &lt;= 75), 50,
    AND(Z16 &gt;= 75, Z16 &lt;= 80), 40,
    AND(Z16 &gt;= 81, Z16 &lt;= 85), 35,
    AND(Z16 &gt;= 85, Z16 &lt;= 90), 30,
    AND(Z16 &gt;= 90, Z16 &lt;= 110), 25,
 AND(Z16 &gt;= 110),0
)</f>
        <v>0</v>
      </c>
      <c r="AA17" s="88">
        <f>SUMIF(D17:L17, "&gt;2")+SUMIF(N17:V17, "&gt;2")</f>
        <v>0</v>
      </c>
      <c r="AB17" s="128">
        <v>0</v>
      </c>
      <c r="AC17" s="128">
        <v>0</v>
      </c>
      <c r="AD17" s="128">
        <v>0</v>
      </c>
      <c r="AE17" s="89">
        <f>SUM(Z17:AD17)</f>
        <v>0</v>
      </c>
      <c r="AF17" s="116"/>
      <c r="AG17" s="17" t="s">
        <v>4</v>
      </c>
      <c r="AH17" s="18">
        <v>10</v>
      </c>
    </row>
    <row r="18" spans="2:34" ht="15" thickTop="1"/>
    <row r="20" spans="2:34" ht="15" thickBot="1">
      <c r="C20" s="2"/>
      <c r="O20" s="8"/>
    </row>
    <row r="21" spans="2:34" ht="15.6" thickTop="1" thickBot="1">
      <c r="B21" s="78" t="s">
        <v>92</v>
      </c>
      <c r="C21" s="46">
        <v>73</v>
      </c>
      <c r="O21" s="8"/>
    </row>
    <row r="22" spans="2:34" ht="15.6" thickTop="1" thickBot="1">
      <c r="B22" s="78" t="s">
        <v>93</v>
      </c>
      <c r="C22" s="46">
        <v>135</v>
      </c>
      <c r="O22" s="8"/>
    </row>
    <row r="23" spans="2:34" ht="15.6" thickTop="1" thickBot="1">
      <c r="B23" s="78" t="s">
        <v>88</v>
      </c>
      <c r="C23" s="46">
        <v>72</v>
      </c>
      <c r="O23" s="8"/>
    </row>
    <row r="24" spans="2:34" ht="15" thickTop="1">
      <c r="O24" s="8"/>
    </row>
    <row r="25" spans="2:34">
      <c r="O25" s="8"/>
    </row>
    <row r="26" spans="2:34">
      <c r="O26" s="8"/>
    </row>
    <row r="27" spans="2:34">
      <c r="O27" s="8"/>
    </row>
    <row r="28" spans="2:34">
      <c r="O28" s="8"/>
    </row>
  </sheetData>
  <mergeCells count="2">
    <mergeCell ref="C4:AE4"/>
    <mergeCell ref="C5:AE5"/>
  </mergeCells>
  <conditionalFormatting sqref="D11:V11">
    <cfRule type="cellIs" dxfId="9" priority="2" operator="between">
      <formula>3</formula>
      <formula>5</formula>
    </cfRule>
  </conditionalFormatting>
  <conditionalFormatting sqref="D13:V13 D15:V15 D17:V17">
    <cfRule type="cellIs" dxfId="8" priority="1" operator="between">
      <formula>3</formula>
      <formula>5</formula>
    </cfRule>
  </conditionalFormatting>
  <pageMargins left="0.7" right="0.7" top="0.75" bottom="0.75" header="0.3" footer="0.3"/>
  <headerFooter>
    <oddFooter>&amp;C_x000D_&amp;1#&amp;"Calibri"&amp;10&amp;K000000 OFFICIAL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BFB9-C227-4448-A695-A710FDD36B4D}">
  <dimension ref="B3:AK28"/>
  <sheetViews>
    <sheetView showGridLines="0" zoomScale="99" workbookViewId="0">
      <selection sqref="A1:XFD1048576"/>
    </sheetView>
  </sheetViews>
  <sheetFormatPr defaultColWidth="8.85546875" defaultRowHeight="14.45"/>
  <cols>
    <col min="1" max="1" width="8.85546875" style="5"/>
    <col min="2" max="2" width="13.42578125" style="1" customWidth="1"/>
    <col min="3" max="3" width="7.140625" style="1" customWidth="1"/>
    <col min="4" max="5" width="5.42578125" style="4" customWidth="1"/>
    <col min="6" max="6" width="5.7109375" style="4" customWidth="1"/>
    <col min="7" max="7" width="5.85546875" style="4" customWidth="1"/>
    <col min="8" max="8" width="5.42578125" style="4" customWidth="1"/>
    <col min="9" max="9" width="6" style="4" customWidth="1"/>
    <col min="10" max="10" width="5.7109375" style="4" customWidth="1"/>
    <col min="11" max="11" width="6" style="4" customWidth="1"/>
    <col min="12" max="12" width="5.42578125" style="4" customWidth="1"/>
    <col min="13" max="13" width="6.85546875" style="3" customWidth="1"/>
    <col min="14" max="14" width="6" style="4" customWidth="1"/>
    <col min="15" max="15" width="5.85546875" style="4" customWidth="1"/>
    <col min="16" max="16" width="6.140625" style="4" customWidth="1"/>
    <col min="17" max="19" width="5.42578125" style="4" customWidth="1"/>
    <col min="20" max="20" width="5.28515625" style="4" customWidth="1"/>
    <col min="21" max="21" width="5.140625" style="4" customWidth="1"/>
    <col min="22" max="22" width="5.42578125" style="4" customWidth="1"/>
    <col min="23" max="23" width="7.28515625" style="3" customWidth="1"/>
    <col min="24" max="24" width="5.7109375" style="3" customWidth="1"/>
    <col min="25" max="25" width="6.5703125" style="3" customWidth="1"/>
    <col min="26" max="32" width="8.85546875" style="5"/>
    <col min="33" max="33" width="9.7109375" style="5" bestFit="1" customWidth="1"/>
    <col min="34" max="34" width="11.42578125" style="5" bestFit="1" customWidth="1"/>
    <col min="35" max="35" width="8.85546875" style="5"/>
    <col min="36" max="36" width="7.28515625" style="5" customWidth="1"/>
    <col min="37" max="37" width="13.85546875" style="5" bestFit="1" customWidth="1"/>
    <col min="38" max="16384" width="8.85546875" style="5"/>
  </cols>
  <sheetData>
    <row r="3" spans="2:37" ht="15" thickBot="1"/>
    <row r="4" spans="2:37" ht="15.6" thickTop="1" thickBot="1">
      <c r="C4" s="268" t="s">
        <v>82</v>
      </c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69"/>
    </row>
    <row r="5" spans="2:37" ht="15.6" thickTop="1" thickBot="1">
      <c r="C5" s="268" t="s">
        <v>83</v>
      </c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70"/>
      <c r="AA5" s="270"/>
      <c r="AB5" s="270"/>
      <c r="AC5" s="270"/>
      <c r="AD5" s="270"/>
      <c r="AE5" s="270"/>
    </row>
    <row r="6" spans="2:37" s="1" customFormat="1" ht="15.6" thickTop="1" thickBot="1">
      <c r="C6" s="38" t="s">
        <v>84</v>
      </c>
      <c r="D6" s="39">
        <v>1</v>
      </c>
      <c r="E6" s="39">
        <v>2</v>
      </c>
      <c r="F6" s="39">
        <v>3</v>
      </c>
      <c r="G6" s="39">
        <v>4</v>
      </c>
      <c r="H6" s="39">
        <v>5</v>
      </c>
      <c r="I6" s="39">
        <v>6</v>
      </c>
      <c r="J6" s="39">
        <v>7</v>
      </c>
      <c r="K6" s="39">
        <v>8</v>
      </c>
      <c r="L6" s="39">
        <v>9</v>
      </c>
      <c r="M6" s="39" t="s">
        <v>85</v>
      </c>
      <c r="N6" s="39">
        <v>10</v>
      </c>
      <c r="O6" s="39">
        <v>11</v>
      </c>
      <c r="P6" s="39">
        <v>12</v>
      </c>
      <c r="Q6" s="39">
        <v>13</v>
      </c>
      <c r="R6" s="39">
        <v>14</v>
      </c>
      <c r="S6" s="39">
        <v>15</v>
      </c>
      <c r="T6" s="39">
        <v>16</v>
      </c>
      <c r="U6" s="39">
        <v>17</v>
      </c>
      <c r="V6" s="39">
        <v>18</v>
      </c>
      <c r="W6" s="39" t="s">
        <v>86</v>
      </c>
      <c r="X6" s="39" t="s">
        <v>7</v>
      </c>
      <c r="Y6" s="78" t="s">
        <v>87</v>
      </c>
      <c r="Z6" s="84" t="s">
        <v>2</v>
      </c>
      <c r="AA6" s="85" t="s">
        <v>3</v>
      </c>
      <c r="AB6" s="85" t="s">
        <v>4</v>
      </c>
      <c r="AC6" s="85" t="s">
        <v>5</v>
      </c>
      <c r="AD6" s="85" t="s">
        <v>6</v>
      </c>
      <c r="AE6" s="86" t="s">
        <v>7</v>
      </c>
      <c r="AF6" s="86" t="s">
        <v>9</v>
      </c>
    </row>
    <row r="7" spans="2:37" s="1" customFormat="1" ht="15.6" thickTop="1" thickBot="1">
      <c r="C7" s="38" t="s">
        <v>88</v>
      </c>
      <c r="D7" s="39">
        <v>4</v>
      </c>
      <c r="E7" s="39">
        <v>5</v>
      </c>
      <c r="F7" s="39">
        <v>4</v>
      </c>
      <c r="G7" s="39">
        <v>3</v>
      </c>
      <c r="H7" s="39">
        <v>4</v>
      </c>
      <c r="I7" s="39">
        <v>4</v>
      </c>
      <c r="J7" s="39">
        <v>3</v>
      </c>
      <c r="K7" s="39">
        <v>5</v>
      </c>
      <c r="L7" s="39">
        <v>4</v>
      </c>
      <c r="M7" s="39">
        <f>SUM(D7:L7)</f>
        <v>36</v>
      </c>
      <c r="N7" s="39">
        <v>5</v>
      </c>
      <c r="O7" s="39">
        <v>4</v>
      </c>
      <c r="P7" s="39">
        <v>3</v>
      </c>
      <c r="Q7" s="39">
        <v>4</v>
      </c>
      <c r="R7" s="39">
        <v>4</v>
      </c>
      <c r="S7" s="39">
        <v>3</v>
      </c>
      <c r="T7" s="39">
        <v>4</v>
      </c>
      <c r="U7" s="39">
        <v>4</v>
      </c>
      <c r="V7" s="39">
        <v>5</v>
      </c>
      <c r="W7" s="39">
        <f>SUM(N7:V7)</f>
        <v>36</v>
      </c>
      <c r="X7" s="39">
        <f>M7+W7</f>
        <v>72</v>
      </c>
      <c r="Y7" s="78"/>
      <c r="Z7" s="111"/>
      <c r="AA7" s="112" t="s">
        <v>18</v>
      </c>
      <c r="AB7" s="112" t="s">
        <v>18</v>
      </c>
      <c r="AC7" s="112" t="s">
        <v>18</v>
      </c>
      <c r="AD7" s="112" t="s">
        <v>18</v>
      </c>
      <c r="AE7" s="113" t="s">
        <v>18</v>
      </c>
      <c r="AF7" s="86"/>
      <c r="AG7" s="6" t="s">
        <v>17</v>
      </c>
      <c r="AH7" s="7" t="s">
        <v>18</v>
      </c>
      <c r="AJ7" s="121"/>
      <c r="AK7" s="121"/>
    </row>
    <row r="8" spans="2:37" s="1" customFormat="1" ht="15.6" thickTop="1" thickBot="1">
      <c r="C8" s="38" t="s">
        <v>89</v>
      </c>
      <c r="D8" s="39">
        <v>5</v>
      </c>
      <c r="E8" s="39">
        <v>9</v>
      </c>
      <c r="F8" s="39">
        <v>3</v>
      </c>
      <c r="G8" s="39">
        <v>14</v>
      </c>
      <c r="H8" s="39">
        <v>11</v>
      </c>
      <c r="I8" s="39">
        <v>15</v>
      </c>
      <c r="J8" s="39">
        <v>18</v>
      </c>
      <c r="K8" s="39">
        <v>13</v>
      </c>
      <c r="L8" s="39">
        <v>1</v>
      </c>
      <c r="M8" s="39"/>
      <c r="N8" s="39">
        <v>12</v>
      </c>
      <c r="O8" s="39">
        <v>10</v>
      </c>
      <c r="P8" s="39">
        <v>16</v>
      </c>
      <c r="Q8" s="39">
        <v>8</v>
      </c>
      <c r="R8" s="39">
        <v>2</v>
      </c>
      <c r="S8" s="39">
        <v>17</v>
      </c>
      <c r="T8" s="39">
        <v>6</v>
      </c>
      <c r="U8" s="39">
        <v>7</v>
      </c>
      <c r="V8" s="39">
        <v>4</v>
      </c>
      <c r="W8" s="39"/>
      <c r="X8" s="39"/>
      <c r="Y8" s="78"/>
      <c r="Z8" s="114"/>
      <c r="AA8" s="115"/>
      <c r="AB8" s="115"/>
      <c r="AC8" s="115"/>
      <c r="AD8" s="115"/>
      <c r="AE8" s="116"/>
      <c r="AF8" s="116"/>
      <c r="AG8" s="9" t="s">
        <v>27</v>
      </c>
      <c r="AH8" s="10">
        <v>70</v>
      </c>
      <c r="AJ8" s="122"/>
      <c r="AK8" s="123"/>
    </row>
    <row r="9" spans="2:37" ht="15.6" thickTop="1" thickBot="1">
      <c r="C9" s="40" t="s">
        <v>90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79"/>
      <c r="Z9" s="111"/>
      <c r="AA9" s="112"/>
      <c r="AB9" s="112"/>
      <c r="AC9" s="112"/>
      <c r="AD9" s="112"/>
      <c r="AE9" s="113"/>
      <c r="AF9" s="116"/>
      <c r="AG9" s="11" t="s">
        <v>32</v>
      </c>
      <c r="AH9" s="12">
        <v>50</v>
      </c>
      <c r="AJ9" s="122"/>
      <c r="AK9" s="117"/>
    </row>
    <row r="10" spans="2:37" ht="15.6" thickTop="1" thickBot="1">
      <c r="B10" s="42" t="s">
        <v>13</v>
      </c>
      <c r="C10" s="54">
        <v>15</v>
      </c>
      <c r="D10" s="43">
        <v>10</v>
      </c>
      <c r="E10" s="43">
        <v>10</v>
      </c>
      <c r="F10" s="43">
        <v>10</v>
      </c>
      <c r="G10" s="43">
        <v>10</v>
      </c>
      <c r="H10" s="43">
        <v>10</v>
      </c>
      <c r="I10" s="43">
        <v>10</v>
      </c>
      <c r="J10" s="43">
        <v>10</v>
      </c>
      <c r="K10" s="43">
        <v>10</v>
      </c>
      <c r="L10" s="43">
        <v>10</v>
      </c>
      <c r="M10" s="43">
        <f t="shared" ref="M10:M17" si="0">SUM(D10:L10)</f>
        <v>90</v>
      </c>
      <c r="N10" s="43">
        <v>10</v>
      </c>
      <c r="O10" s="43">
        <v>10</v>
      </c>
      <c r="P10" s="43">
        <v>10</v>
      </c>
      <c r="Q10" s="43">
        <v>10</v>
      </c>
      <c r="R10" s="43">
        <v>10</v>
      </c>
      <c r="S10" s="43">
        <v>10</v>
      </c>
      <c r="T10" s="43">
        <v>10</v>
      </c>
      <c r="U10" s="43">
        <v>10</v>
      </c>
      <c r="V10" s="43">
        <v>10</v>
      </c>
      <c r="W10" s="43">
        <f t="shared" ref="W10:W17" si="1">SUM(N10:V10)</f>
        <v>90</v>
      </c>
      <c r="X10" s="127">
        <f t="shared" ref="X10:X17" si="2">+M10+W10</f>
        <v>180</v>
      </c>
      <c r="Y10" s="80">
        <f>X11</f>
        <v>0</v>
      </c>
      <c r="Z10" s="108">
        <f>X10-C10</f>
        <v>165</v>
      </c>
      <c r="AA10" s="109"/>
      <c r="AB10" s="109"/>
      <c r="AC10" s="109"/>
      <c r="AD10" s="109"/>
      <c r="AE10" s="110"/>
      <c r="AF10" s="116">
        <v>0</v>
      </c>
      <c r="AG10" s="11" t="s">
        <v>37</v>
      </c>
      <c r="AH10" s="12">
        <v>40</v>
      </c>
      <c r="AJ10" s="35"/>
      <c r="AK10" s="123"/>
    </row>
    <row r="11" spans="2:37" ht="15.6" thickTop="1" thickBot="1">
      <c r="B11" s="44" t="s">
        <v>91</v>
      </c>
      <c r="C11" s="54"/>
      <c r="D11" s="43">
        <f>MAX(0,2+D$7+(D$8&lt;=$C10)+(D$8&lt;=MAX($C10-18,0))+(D$8&lt;=MAX($C10-36,0))-D10)*NOT(ISBLANK($C10))</f>
        <v>0</v>
      </c>
      <c r="E11" s="43">
        <f t="shared" ref="E11:L11" si="3">MAX(0,2+E$7+(E$8&lt;=$C10)+(E$8&lt;=MAX($C10-18,0))+(E$8&lt;=MAX($C10-36,0))-E10)*NOT(ISBLANK($C10))</f>
        <v>0</v>
      </c>
      <c r="F11" s="43">
        <f t="shared" si="3"/>
        <v>0</v>
      </c>
      <c r="G11" s="43">
        <f t="shared" si="3"/>
        <v>0</v>
      </c>
      <c r="H11" s="43">
        <f t="shared" si="3"/>
        <v>0</v>
      </c>
      <c r="I11" s="43">
        <f t="shared" si="3"/>
        <v>0</v>
      </c>
      <c r="J11" s="43">
        <f t="shared" si="3"/>
        <v>0</v>
      </c>
      <c r="K11" s="43">
        <f t="shared" si="3"/>
        <v>0</v>
      </c>
      <c r="L11" s="43">
        <f t="shared" si="3"/>
        <v>0</v>
      </c>
      <c r="M11" s="43">
        <f t="shared" si="0"/>
        <v>0</v>
      </c>
      <c r="N11" s="43">
        <f t="shared" ref="N11:V11" si="4">MAX(0,2+N$7+(N$8&lt;=$C10)+(N$8&lt;=MAX($C10-18,0))+(N$8&lt;=MAX($C10-36,0))-N10)*NOT(ISBLANK($C10))</f>
        <v>0</v>
      </c>
      <c r="O11" s="43">
        <f t="shared" si="4"/>
        <v>0</v>
      </c>
      <c r="P11" s="43">
        <f t="shared" si="4"/>
        <v>0</v>
      </c>
      <c r="Q11" s="43">
        <f t="shared" si="4"/>
        <v>0</v>
      </c>
      <c r="R11" s="43">
        <f t="shared" si="4"/>
        <v>0</v>
      </c>
      <c r="S11" s="43">
        <f t="shared" si="4"/>
        <v>0</v>
      </c>
      <c r="T11" s="43">
        <f t="shared" si="4"/>
        <v>0</v>
      </c>
      <c r="U11" s="43">
        <f t="shared" si="4"/>
        <v>0</v>
      </c>
      <c r="V11" s="43">
        <f t="shared" si="4"/>
        <v>0</v>
      </c>
      <c r="W11" s="43">
        <f t="shared" si="1"/>
        <v>0</v>
      </c>
      <c r="X11" s="43">
        <f t="shared" si="2"/>
        <v>0</v>
      </c>
      <c r="Y11" s="80"/>
      <c r="Z11" s="105" cm="1">
        <f t="array" ref="Z11">_xlfn.IFS(
    AND(Z10 &gt;= 50, Z10 &lt;= 70), 70,
    AND(Z10 &gt;= 70, Z10 &lt;= 75), 50,
    AND(Z10 &gt;= 75, Z10 &lt;= 80), 40,
    AND(Z10 &gt;= 81, Z10 &lt;= 85), 35,
    AND(Z10 &gt;= 85, Z10 &lt;= 90), 30,
    AND(Z10 &gt;= 90, Z10 &lt;= 110), 25,
 AND(Z10 &gt;= 110),0
)</f>
        <v>0</v>
      </c>
      <c r="AA11" s="106">
        <f>SUMIF(D11:L11, "&gt;2")+SUMIF(N11:V11, "&gt;2")</f>
        <v>0</v>
      </c>
      <c r="AB11" s="128">
        <v>0</v>
      </c>
      <c r="AC11" s="128">
        <v>0</v>
      </c>
      <c r="AD11" s="128">
        <v>0</v>
      </c>
      <c r="AE11" s="107">
        <f>SUM(Z11:AD11)</f>
        <v>0</v>
      </c>
      <c r="AF11" s="116"/>
      <c r="AG11" s="11" t="s">
        <v>40</v>
      </c>
      <c r="AH11" s="12">
        <v>35</v>
      </c>
      <c r="AJ11" s="35"/>
      <c r="AK11" s="118"/>
    </row>
    <row r="12" spans="2:37" ht="15.6" thickTop="1" thickBot="1">
      <c r="B12" s="45" t="s">
        <v>14</v>
      </c>
      <c r="C12" s="55">
        <v>20</v>
      </c>
      <c r="D12" s="234">
        <v>10</v>
      </c>
      <c r="E12" s="234">
        <v>10</v>
      </c>
      <c r="F12" s="234">
        <v>10</v>
      </c>
      <c r="G12" s="234">
        <v>10</v>
      </c>
      <c r="H12" s="234">
        <v>10</v>
      </c>
      <c r="I12" s="234">
        <v>10</v>
      </c>
      <c r="J12" s="234">
        <v>10</v>
      </c>
      <c r="K12" s="234">
        <v>10</v>
      </c>
      <c r="L12" s="234">
        <v>10</v>
      </c>
      <c r="M12" s="46">
        <f t="shared" si="0"/>
        <v>90</v>
      </c>
      <c r="N12" s="234">
        <v>10</v>
      </c>
      <c r="O12" s="234">
        <v>10</v>
      </c>
      <c r="P12" s="234">
        <v>10</v>
      </c>
      <c r="Q12" s="234">
        <v>10</v>
      </c>
      <c r="R12" s="234">
        <v>10</v>
      </c>
      <c r="S12" s="234">
        <v>10</v>
      </c>
      <c r="T12" s="234">
        <v>10</v>
      </c>
      <c r="U12" s="234">
        <v>10</v>
      </c>
      <c r="V12" s="234">
        <v>10</v>
      </c>
      <c r="W12" s="46">
        <f t="shared" si="1"/>
        <v>90</v>
      </c>
      <c r="X12" s="126">
        <f t="shared" si="2"/>
        <v>180</v>
      </c>
      <c r="Y12" s="81">
        <f>X13</f>
        <v>0</v>
      </c>
      <c r="Z12" s="102">
        <f>X12-C12</f>
        <v>160</v>
      </c>
      <c r="AA12" s="103"/>
      <c r="AB12" s="103"/>
      <c r="AC12" s="103"/>
      <c r="AD12" s="103"/>
      <c r="AE12" s="104"/>
      <c r="AF12" s="116">
        <v>0</v>
      </c>
      <c r="AG12" s="11" t="s">
        <v>42</v>
      </c>
      <c r="AH12" s="12">
        <v>30</v>
      </c>
      <c r="AJ12" s="36"/>
      <c r="AK12" s="123"/>
    </row>
    <row r="13" spans="2:37" ht="15.6" thickTop="1" thickBot="1">
      <c r="B13" s="47" t="s">
        <v>91</v>
      </c>
      <c r="C13" s="55"/>
      <c r="D13" s="46">
        <f>MAX(0,2+D$7+(D$8&lt;=$C12)+(D$8&lt;=MAX($C12-18,0))+(D$8&lt;=MAX($C12-36,0))-D12)*NOT(ISBLANK($C12))</f>
        <v>0</v>
      </c>
      <c r="E13" s="46">
        <f t="shared" ref="E13:L13" si="5">MAX(0,2+E$7+(E$8&lt;=$C12)+(E$8&lt;=MAX($C12-18,0))+(E$8&lt;=MAX($C12-36,0))-E12)*NOT(ISBLANK($C12))</f>
        <v>0</v>
      </c>
      <c r="F13" s="46">
        <f t="shared" si="5"/>
        <v>0</v>
      </c>
      <c r="G13" s="46">
        <f t="shared" si="5"/>
        <v>0</v>
      </c>
      <c r="H13" s="46">
        <f t="shared" si="5"/>
        <v>0</v>
      </c>
      <c r="I13" s="46">
        <f t="shared" si="5"/>
        <v>0</v>
      </c>
      <c r="J13" s="46">
        <f t="shared" si="5"/>
        <v>0</v>
      </c>
      <c r="K13" s="46">
        <f t="shared" si="5"/>
        <v>0</v>
      </c>
      <c r="L13" s="46">
        <f t="shared" si="5"/>
        <v>0</v>
      </c>
      <c r="M13" s="46">
        <f t="shared" si="0"/>
        <v>0</v>
      </c>
      <c r="N13" s="46">
        <f t="shared" ref="N13:V13" si="6">MAX(0,2+N$7+(N$8&lt;=$C12)+(N$8&lt;=MAX($C12-18,0))+(N$8&lt;=MAX($C12-36,0))-N12)*NOT(ISBLANK($C12))</f>
        <v>0</v>
      </c>
      <c r="O13" s="46">
        <f t="shared" si="6"/>
        <v>0</v>
      </c>
      <c r="P13" s="46">
        <f t="shared" si="6"/>
        <v>0</v>
      </c>
      <c r="Q13" s="46">
        <f t="shared" si="6"/>
        <v>0</v>
      </c>
      <c r="R13" s="46">
        <f t="shared" si="6"/>
        <v>0</v>
      </c>
      <c r="S13" s="46">
        <f t="shared" si="6"/>
        <v>0</v>
      </c>
      <c r="T13" s="46">
        <f t="shared" si="6"/>
        <v>0</v>
      </c>
      <c r="U13" s="46">
        <f t="shared" si="6"/>
        <v>0</v>
      </c>
      <c r="V13" s="46">
        <f t="shared" si="6"/>
        <v>0</v>
      </c>
      <c r="W13" s="46">
        <f t="shared" si="1"/>
        <v>0</v>
      </c>
      <c r="X13" s="46">
        <f t="shared" si="2"/>
        <v>0</v>
      </c>
      <c r="Y13" s="81"/>
      <c r="Z13" s="99" cm="1">
        <f t="array" ref="Z13">_xlfn.IFS(
    AND(Z12 &gt;= 50, Z12 &lt;= 70), 70,
    AND(Z12 &gt;= 70, Z12 &lt;= 75), 50,
    AND(Z12 &gt;= 75, Z12 &lt;= 80), 40,
    AND(Z12 &gt;= 81, Z12 &lt;= 85), 35,
    AND(Z12 &gt;= 85, Z12 &lt;= 90), 30,
    AND(Z12 &gt;= 90, Z12 &lt;= 110), 25,
 AND(Z12 &gt;= 110),0
)</f>
        <v>0</v>
      </c>
      <c r="AA13" s="100">
        <f>SUMIF(D13:L13, "&gt;2")+SUMIF(N13:V13, "&gt;2")</f>
        <v>0</v>
      </c>
      <c r="AB13" s="128">
        <v>0</v>
      </c>
      <c r="AC13" s="128">
        <v>0</v>
      </c>
      <c r="AD13" s="128">
        <v>0</v>
      </c>
      <c r="AE13" s="101">
        <f>SUM(Z13:AD13)</f>
        <v>0</v>
      </c>
      <c r="AF13" s="116"/>
      <c r="AG13" s="13" t="s">
        <v>44</v>
      </c>
      <c r="AH13" s="14">
        <v>25</v>
      </c>
      <c r="AJ13" s="36"/>
      <c r="AK13" s="119"/>
    </row>
    <row r="14" spans="2:37" ht="15.6" thickTop="1" thickBot="1">
      <c r="B14" s="48" t="s">
        <v>12</v>
      </c>
      <c r="C14" s="56">
        <v>25</v>
      </c>
      <c r="D14" s="235">
        <v>10</v>
      </c>
      <c r="E14" s="235">
        <v>10</v>
      </c>
      <c r="F14" s="235">
        <v>10</v>
      </c>
      <c r="G14" s="235">
        <v>10</v>
      </c>
      <c r="H14" s="235">
        <v>10</v>
      </c>
      <c r="I14" s="235">
        <v>10</v>
      </c>
      <c r="J14" s="235">
        <v>10</v>
      </c>
      <c r="K14" s="235">
        <v>10</v>
      </c>
      <c r="L14" s="235">
        <v>10</v>
      </c>
      <c r="M14" s="49">
        <f t="shared" si="0"/>
        <v>90</v>
      </c>
      <c r="N14" s="235">
        <v>10</v>
      </c>
      <c r="O14" s="235">
        <v>10</v>
      </c>
      <c r="P14" s="235">
        <v>10</v>
      </c>
      <c r="Q14" s="235">
        <v>10</v>
      </c>
      <c r="R14" s="235">
        <v>10</v>
      </c>
      <c r="S14" s="235">
        <v>10</v>
      </c>
      <c r="T14" s="235">
        <v>10</v>
      </c>
      <c r="U14" s="235">
        <v>10</v>
      </c>
      <c r="V14" s="235">
        <v>10</v>
      </c>
      <c r="W14" s="49">
        <f t="shared" si="1"/>
        <v>90</v>
      </c>
      <c r="X14" s="125">
        <f t="shared" si="2"/>
        <v>180</v>
      </c>
      <c r="Y14" s="82">
        <f>X15</f>
        <v>0</v>
      </c>
      <c r="Z14" s="96">
        <f>X14-C14</f>
        <v>155</v>
      </c>
      <c r="AA14" s="97"/>
      <c r="AB14" s="97"/>
      <c r="AC14" s="97"/>
      <c r="AD14" s="97"/>
      <c r="AE14" s="98"/>
      <c r="AF14" s="116">
        <v>0</v>
      </c>
      <c r="AG14" s="15" t="s">
        <v>46</v>
      </c>
      <c r="AH14" s="16" t="s">
        <v>47</v>
      </c>
      <c r="AJ14" s="37"/>
      <c r="AK14" s="123"/>
    </row>
    <row r="15" spans="2:37" ht="15.6" thickTop="1" thickBot="1">
      <c r="B15" s="50" t="s">
        <v>91</v>
      </c>
      <c r="C15" s="56"/>
      <c r="D15" s="49">
        <f>MAX(0,2+D$7+(D$8&lt;=$C14)+(D$8&lt;=MAX($C14-18,0))+(D$8&lt;=MAX($C14-36,0))-D14)*NOT(ISBLANK($C14))</f>
        <v>0</v>
      </c>
      <c r="E15" s="49">
        <f t="shared" ref="E15:L15" si="7">MAX(0,2+E$7+(E$8&lt;=$C14)+(E$8&lt;=MAX($C14-18,0))+(E$8&lt;=MAX($C14-36,0))-E14)*NOT(ISBLANK($C14))</f>
        <v>0</v>
      </c>
      <c r="F15" s="49">
        <f t="shared" si="7"/>
        <v>0</v>
      </c>
      <c r="G15" s="49">
        <f t="shared" si="7"/>
        <v>0</v>
      </c>
      <c r="H15" s="49">
        <f t="shared" si="7"/>
        <v>0</v>
      </c>
      <c r="I15" s="49">
        <f t="shared" si="7"/>
        <v>0</v>
      </c>
      <c r="J15" s="49">
        <f t="shared" si="7"/>
        <v>0</v>
      </c>
      <c r="K15" s="49">
        <f t="shared" si="7"/>
        <v>0</v>
      </c>
      <c r="L15" s="49">
        <f t="shared" si="7"/>
        <v>0</v>
      </c>
      <c r="M15" s="49">
        <f t="shared" si="0"/>
        <v>0</v>
      </c>
      <c r="N15" s="49">
        <f t="shared" ref="N15:V15" si="8">MAX(0,2+N$7+(N$8&lt;=$C14)+(N$8&lt;=MAX($C14-18,0))+(N$8&lt;=MAX($C14-36,0))-N14)*NOT(ISBLANK($C14))</f>
        <v>0</v>
      </c>
      <c r="O15" s="49">
        <f t="shared" si="8"/>
        <v>0</v>
      </c>
      <c r="P15" s="49">
        <f t="shared" si="8"/>
        <v>0</v>
      </c>
      <c r="Q15" s="49">
        <f t="shared" si="8"/>
        <v>0</v>
      </c>
      <c r="R15" s="49">
        <f t="shared" si="8"/>
        <v>0</v>
      </c>
      <c r="S15" s="49">
        <f t="shared" si="8"/>
        <v>0</v>
      </c>
      <c r="T15" s="49">
        <f t="shared" si="8"/>
        <v>0</v>
      </c>
      <c r="U15" s="49">
        <f t="shared" si="8"/>
        <v>0</v>
      </c>
      <c r="V15" s="49">
        <f t="shared" si="8"/>
        <v>0</v>
      </c>
      <c r="W15" s="49">
        <f t="shared" si="1"/>
        <v>0</v>
      </c>
      <c r="X15" s="49">
        <f t="shared" si="2"/>
        <v>0</v>
      </c>
      <c r="Y15" s="82"/>
      <c r="Z15" s="93" cm="1">
        <f t="array" ref="Z15">_xlfn.IFS(
    AND(Z14 &gt;= 50, Z14 &lt;= 70), 70,
    AND(Z14 &gt;= 70, Z14 &lt;= 75), 50,
    AND(Z14 &gt;= 75, Z14 &lt;= 80), 40,
    AND(Z14 &gt;= 81, Z14 &lt;= 85), 35,
    AND(Z14 &gt;= 85, Z14 &lt;= 90), 30,
    AND(Z14 &gt;= 90, Z14 &lt;= 110), 25,
 AND(Z14 &gt;= 110),0
)</f>
        <v>0</v>
      </c>
      <c r="AA15" s="94">
        <f>SUMIF(D15:L15, "&gt;2")+SUMIF(N15:V15, "&gt;2")</f>
        <v>0</v>
      </c>
      <c r="AB15" s="128">
        <v>0</v>
      </c>
      <c r="AC15" s="128">
        <v>0</v>
      </c>
      <c r="AD15" s="128">
        <v>0</v>
      </c>
      <c r="AE15" s="95">
        <f>SUM(Z15:AD15)</f>
        <v>0</v>
      </c>
      <c r="AF15" s="116"/>
      <c r="AG15" s="9" t="s">
        <v>49</v>
      </c>
      <c r="AH15" s="10">
        <v>5</v>
      </c>
      <c r="AJ15" s="37"/>
      <c r="AK15" s="120"/>
    </row>
    <row r="16" spans="2:37" ht="15.6" thickTop="1" thickBot="1">
      <c r="B16" s="51" t="s">
        <v>11</v>
      </c>
      <c r="C16" s="57">
        <v>18</v>
      </c>
      <c r="D16" s="236">
        <v>10</v>
      </c>
      <c r="E16" s="236">
        <v>10</v>
      </c>
      <c r="F16" s="236">
        <v>10</v>
      </c>
      <c r="G16" s="236">
        <v>10</v>
      </c>
      <c r="H16" s="236">
        <v>10</v>
      </c>
      <c r="I16" s="236">
        <v>10</v>
      </c>
      <c r="J16" s="236">
        <v>10</v>
      </c>
      <c r="K16" s="236">
        <v>10</v>
      </c>
      <c r="L16" s="236">
        <v>10</v>
      </c>
      <c r="M16" s="52">
        <f t="shared" si="0"/>
        <v>90</v>
      </c>
      <c r="N16" s="236">
        <v>10</v>
      </c>
      <c r="O16" s="236">
        <v>10</v>
      </c>
      <c r="P16" s="236">
        <v>10</v>
      </c>
      <c r="Q16" s="236">
        <v>10</v>
      </c>
      <c r="R16" s="236">
        <v>10</v>
      </c>
      <c r="S16" s="236">
        <v>10</v>
      </c>
      <c r="T16" s="236">
        <v>10</v>
      </c>
      <c r="U16" s="236">
        <v>10</v>
      </c>
      <c r="V16" s="236">
        <v>10</v>
      </c>
      <c r="W16" s="52">
        <f t="shared" si="1"/>
        <v>90</v>
      </c>
      <c r="X16" s="124">
        <f t="shared" si="2"/>
        <v>180</v>
      </c>
      <c r="Y16" s="83">
        <f t="shared" ref="Y16" si="9">X17</f>
        <v>0</v>
      </c>
      <c r="Z16" s="90">
        <f>X16-C16</f>
        <v>162</v>
      </c>
      <c r="AA16" s="91"/>
      <c r="AB16" s="91"/>
      <c r="AC16" s="91"/>
      <c r="AD16" s="91"/>
      <c r="AE16" s="92"/>
      <c r="AF16" s="116">
        <v>0</v>
      </c>
      <c r="AG16" s="11" t="s">
        <v>51</v>
      </c>
      <c r="AH16" s="12">
        <v>5</v>
      </c>
    </row>
    <row r="17" spans="2:34" ht="15.6" thickTop="1" thickBot="1">
      <c r="B17" s="53" t="s">
        <v>91</v>
      </c>
      <c r="C17" s="57"/>
      <c r="D17" s="52">
        <f t="shared" ref="D17:L17" si="10">MAX(0,2+D$7+(D$8&lt;=$C16)+(D$8&lt;=MAX($C16-18,0))+(D$8&lt;=MAX($C16-36,0))-D16)*NOT(ISBLANK($C16))</f>
        <v>0</v>
      </c>
      <c r="E17" s="52">
        <f t="shared" si="10"/>
        <v>0</v>
      </c>
      <c r="F17" s="52">
        <f t="shared" si="10"/>
        <v>0</v>
      </c>
      <c r="G17" s="52">
        <f t="shared" si="10"/>
        <v>0</v>
      </c>
      <c r="H17" s="52">
        <f t="shared" si="10"/>
        <v>0</v>
      </c>
      <c r="I17" s="52">
        <f t="shared" si="10"/>
        <v>0</v>
      </c>
      <c r="J17" s="52">
        <f t="shared" si="10"/>
        <v>0</v>
      </c>
      <c r="K17" s="52">
        <f t="shared" si="10"/>
        <v>0</v>
      </c>
      <c r="L17" s="52">
        <f t="shared" si="10"/>
        <v>0</v>
      </c>
      <c r="M17" s="52">
        <f t="shared" si="0"/>
        <v>0</v>
      </c>
      <c r="N17" s="52">
        <f t="shared" ref="N17:V17" si="11">MAX(0,2+N$7+(N$8&lt;=$C16)+(N$8&lt;=MAX($C16-18,0))+(N$8&lt;=MAX($C16-36,0))-N16)*NOT(ISBLANK($C16))</f>
        <v>0</v>
      </c>
      <c r="O17" s="52">
        <f t="shared" si="11"/>
        <v>0</v>
      </c>
      <c r="P17" s="52">
        <f t="shared" si="11"/>
        <v>0</v>
      </c>
      <c r="Q17" s="52">
        <f t="shared" si="11"/>
        <v>0</v>
      </c>
      <c r="R17" s="52">
        <f t="shared" si="11"/>
        <v>0</v>
      </c>
      <c r="S17" s="52">
        <f t="shared" si="11"/>
        <v>0</v>
      </c>
      <c r="T17" s="52">
        <f t="shared" si="11"/>
        <v>0</v>
      </c>
      <c r="U17" s="52">
        <f t="shared" si="11"/>
        <v>0</v>
      </c>
      <c r="V17" s="52">
        <f t="shared" si="11"/>
        <v>0</v>
      </c>
      <c r="W17" s="52">
        <f t="shared" si="1"/>
        <v>0</v>
      </c>
      <c r="X17" s="52">
        <f t="shared" si="2"/>
        <v>0</v>
      </c>
      <c r="Y17" s="83"/>
      <c r="Z17" s="87" cm="1">
        <f t="array" ref="Z17">_xlfn.IFS(
    AND(Z16 &gt;= 50, Z16 &lt;= 70), 70,
    AND(Z16 &gt;= 70, Z16 &lt;= 75), 50,
    AND(Z16 &gt;= 75, Z16 &lt;= 80), 40,
    AND(Z16 &gt;= 81, Z16 &lt;= 85), 35,
    AND(Z16 &gt;= 85, Z16 &lt;= 90), 30,
    AND(Z16 &gt;= 90, Z16 &lt;= 110), 25,
 AND(Z16 &gt;= 110),0
)</f>
        <v>0</v>
      </c>
      <c r="AA17" s="88">
        <f>SUMIF(D17:L17, "&gt;2")+SUMIF(N17:V17, "&gt;2")</f>
        <v>0</v>
      </c>
      <c r="AB17" s="128">
        <v>0</v>
      </c>
      <c r="AC17" s="128">
        <v>0</v>
      </c>
      <c r="AD17" s="128">
        <v>0</v>
      </c>
      <c r="AE17" s="89">
        <f>SUM(Z17:AD17)</f>
        <v>0</v>
      </c>
      <c r="AF17" s="116"/>
      <c r="AG17" s="17" t="s">
        <v>4</v>
      </c>
      <c r="AH17" s="18">
        <v>10</v>
      </c>
    </row>
    <row r="18" spans="2:34" ht="15" thickTop="1"/>
    <row r="20" spans="2:34" ht="15" thickBot="1">
      <c r="C20" s="2"/>
      <c r="O20" s="8"/>
    </row>
    <row r="21" spans="2:34" ht="15.6" thickTop="1" thickBot="1">
      <c r="B21" s="78" t="s">
        <v>92</v>
      </c>
      <c r="C21" s="46">
        <v>73</v>
      </c>
      <c r="O21" s="8"/>
    </row>
    <row r="22" spans="2:34" ht="15.6" thickTop="1" thickBot="1">
      <c r="B22" s="78" t="s">
        <v>93</v>
      </c>
      <c r="C22" s="46">
        <v>135</v>
      </c>
      <c r="O22" s="8"/>
    </row>
    <row r="23" spans="2:34" ht="15.6" thickTop="1" thickBot="1">
      <c r="B23" s="78" t="s">
        <v>88</v>
      </c>
      <c r="C23" s="46">
        <v>72</v>
      </c>
      <c r="O23" s="8"/>
    </row>
    <row r="24" spans="2:34" ht="15" thickTop="1">
      <c r="O24" s="8"/>
    </row>
    <row r="25" spans="2:34">
      <c r="O25" s="8"/>
    </row>
    <row r="26" spans="2:34">
      <c r="O26" s="8"/>
    </row>
    <row r="27" spans="2:34">
      <c r="O27" s="8"/>
    </row>
    <row r="28" spans="2:34">
      <c r="O28" s="8"/>
    </row>
  </sheetData>
  <mergeCells count="2">
    <mergeCell ref="C4:AE4"/>
    <mergeCell ref="C5:AE5"/>
  </mergeCells>
  <conditionalFormatting sqref="D11:V11">
    <cfRule type="cellIs" dxfId="7" priority="2" operator="between">
      <formula>3</formula>
      <formula>5</formula>
    </cfRule>
  </conditionalFormatting>
  <conditionalFormatting sqref="D13:V13 D15:V15 D17:V17">
    <cfRule type="cellIs" dxfId="6" priority="1" operator="between">
      <formula>3</formula>
      <formula>5</formula>
    </cfRule>
  </conditionalFormatting>
  <pageMargins left="0.7" right="0.7" top="0.75" bottom="0.75" header="0.3" footer="0.3"/>
  <headerFooter>
    <oddFooter>&amp;C_x000D_&amp;1#&amp;"Calibri"&amp;10&amp;K000000 OFFICIAL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9FFC-1996-4BE0-B830-6CEA14FFAAE8}">
  <dimension ref="B3:AK28"/>
  <sheetViews>
    <sheetView showGridLines="0" zoomScale="99" workbookViewId="0">
      <selection sqref="A1:XFD1048576"/>
    </sheetView>
  </sheetViews>
  <sheetFormatPr defaultColWidth="8.85546875" defaultRowHeight="14.45"/>
  <cols>
    <col min="1" max="1" width="8.85546875" style="5"/>
    <col min="2" max="2" width="13.42578125" style="1" customWidth="1"/>
    <col min="3" max="3" width="7.140625" style="1" customWidth="1"/>
    <col min="4" max="5" width="5.42578125" style="4" customWidth="1"/>
    <col min="6" max="6" width="5.7109375" style="4" customWidth="1"/>
    <col min="7" max="7" width="5.85546875" style="4" customWidth="1"/>
    <col min="8" max="8" width="5.42578125" style="4" customWidth="1"/>
    <col min="9" max="9" width="6" style="4" customWidth="1"/>
    <col min="10" max="10" width="5.7109375" style="4" customWidth="1"/>
    <col min="11" max="11" width="6" style="4" customWidth="1"/>
    <col min="12" max="12" width="5.42578125" style="4" customWidth="1"/>
    <col min="13" max="13" width="6.85546875" style="3" customWidth="1"/>
    <col min="14" max="14" width="6" style="4" customWidth="1"/>
    <col min="15" max="15" width="5.85546875" style="4" customWidth="1"/>
    <col min="16" max="16" width="6.140625" style="4" customWidth="1"/>
    <col min="17" max="19" width="5.42578125" style="4" customWidth="1"/>
    <col min="20" max="20" width="5.28515625" style="4" customWidth="1"/>
    <col min="21" max="21" width="5.140625" style="4" customWidth="1"/>
    <col min="22" max="22" width="5.42578125" style="4" customWidth="1"/>
    <col min="23" max="23" width="7.28515625" style="3" customWidth="1"/>
    <col min="24" max="24" width="5.7109375" style="3" customWidth="1"/>
    <col min="25" max="25" width="6.5703125" style="3" customWidth="1"/>
    <col min="26" max="32" width="8.85546875" style="5"/>
    <col min="33" max="33" width="9.7109375" style="5" bestFit="1" customWidth="1"/>
    <col min="34" max="34" width="11.42578125" style="5" bestFit="1" customWidth="1"/>
    <col min="35" max="35" width="8.85546875" style="5"/>
    <col min="36" max="36" width="7.28515625" style="5" customWidth="1"/>
    <col min="37" max="37" width="13.85546875" style="5" bestFit="1" customWidth="1"/>
    <col min="38" max="16384" width="8.85546875" style="5"/>
  </cols>
  <sheetData>
    <row r="3" spans="2:37" ht="15" thickBot="1"/>
    <row r="4" spans="2:37" ht="15.6" thickTop="1" thickBot="1">
      <c r="C4" s="268" t="s">
        <v>82</v>
      </c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69"/>
    </row>
    <row r="5" spans="2:37" ht="15.6" thickTop="1" thickBot="1">
      <c r="C5" s="268" t="s">
        <v>83</v>
      </c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70"/>
      <c r="AA5" s="270"/>
      <c r="AB5" s="270"/>
      <c r="AC5" s="270"/>
      <c r="AD5" s="270"/>
      <c r="AE5" s="270"/>
    </row>
    <row r="6" spans="2:37" s="1" customFormat="1" ht="15.6" thickTop="1" thickBot="1">
      <c r="C6" s="38" t="s">
        <v>84</v>
      </c>
      <c r="D6" s="39">
        <v>1</v>
      </c>
      <c r="E6" s="39">
        <v>2</v>
      </c>
      <c r="F6" s="39">
        <v>3</v>
      </c>
      <c r="G6" s="39">
        <v>4</v>
      </c>
      <c r="H6" s="39">
        <v>5</v>
      </c>
      <c r="I6" s="39">
        <v>6</v>
      </c>
      <c r="J6" s="39">
        <v>7</v>
      </c>
      <c r="K6" s="39">
        <v>8</v>
      </c>
      <c r="L6" s="39">
        <v>9</v>
      </c>
      <c r="M6" s="39" t="s">
        <v>85</v>
      </c>
      <c r="N6" s="39">
        <v>10</v>
      </c>
      <c r="O6" s="39">
        <v>11</v>
      </c>
      <c r="P6" s="39">
        <v>12</v>
      </c>
      <c r="Q6" s="39">
        <v>13</v>
      </c>
      <c r="R6" s="39">
        <v>14</v>
      </c>
      <c r="S6" s="39">
        <v>15</v>
      </c>
      <c r="T6" s="39">
        <v>16</v>
      </c>
      <c r="U6" s="39">
        <v>17</v>
      </c>
      <c r="V6" s="39">
        <v>18</v>
      </c>
      <c r="W6" s="39" t="s">
        <v>86</v>
      </c>
      <c r="X6" s="39" t="s">
        <v>7</v>
      </c>
      <c r="Y6" s="78" t="s">
        <v>87</v>
      </c>
      <c r="Z6" s="84" t="s">
        <v>2</v>
      </c>
      <c r="AA6" s="85" t="s">
        <v>3</v>
      </c>
      <c r="AB6" s="85" t="s">
        <v>4</v>
      </c>
      <c r="AC6" s="85" t="s">
        <v>5</v>
      </c>
      <c r="AD6" s="85" t="s">
        <v>6</v>
      </c>
      <c r="AE6" s="86" t="s">
        <v>7</v>
      </c>
      <c r="AF6" s="86" t="s">
        <v>9</v>
      </c>
    </row>
    <row r="7" spans="2:37" s="1" customFormat="1" ht="15.6" thickTop="1" thickBot="1">
      <c r="C7" s="38" t="s">
        <v>88</v>
      </c>
      <c r="D7" s="39">
        <v>4</v>
      </c>
      <c r="E7" s="39">
        <v>5</v>
      </c>
      <c r="F7" s="39">
        <v>4</v>
      </c>
      <c r="G7" s="39">
        <v>3</v>
      </c>
      <c r="H7" s="39">
        <v>4</v>
      </c>
      <c r="I7" s="39">
        <v>4</v>
      </c>
      <c r="J7" s="39">
        <v>3</v>
      </c>
      <c r="K7" s="39">
        <v>5</v>
      </c>
      <c r="L7" s="39">
        <v>4</v>
      </c>
      <c r="M7" s="39">
        <f>SUM(D7:L7)</f>
        <v>36</v>
      </c>
      <c r="N7" s="39">
        <v>5</v>
      </c>
      <c r="O7" s="39">
        <v>4</v>
      </c>
      <c r="P7" s="39">
        <v>3</v>
      </c>
      <c r="Q7" s="39">
        <v>4</v>
      </c>
      <c r="R7" s="39">
        <v>4</v>
      </c>
      <c r="S7" s="39">
        <v>3</v>
      </c>
      <c r="T7" s="39">
        <v>4</v>
      </c>
      <c r="U7" s="39">
        <v>4</v>
      </c>
      <c r="V7" s="39">
        <v>5</v>
      </c>
      <c r="W7" s="39">
        <f>SUM(N7:V7)</f>
        <v>36</v>
      </c>
      <c r="X7" s="39">
        <f>M7+W7</f>
        <v>72</v>
      </c>
      <c r="Y7" s="78"/>
      <c r="Z7" s="111"/>
      <c r="AA7" s="112" t="s">
        <v>18</v>
      </c>
      <c r="AB7" s="112" t="s">
        <v>18</v>
      </c>
      <c r="AC7" s="112" t="s">
        <v>18</v>
      </c>
      <c r="AD7" s="112" t="s">
        <v>18</v>
      </c>
      <c r="AE7" s="113" t="s">
        <v>18</v>
      </c>
      <c r="AF7" s="86"/>
      <c r="AG7" s="6" t="s">
        <v>17</v>
      </c>
      <c r="AH7" s="7" t="s">
        <v>18</v>
      </c>
      <c r="AJ7" s="121"/>
      <c r="AK7" s="121"/>
    </row>
    <row r="8" spans="2:37" s="1" customFormat="1" ht="15.6" thickTop="1" thickBot="1">
      <c r="C8" s="38" t="s">
        <v>89</v>
      </c>
      <c r="D8" s="39">
        <v>5</v>
      </c>
      <c r="E8" s="39">
        <v>9</v>
      </c>
      <c r="F8" s="39">
        <v>3</v>
      </c>
      <c r="G8" s="39">
        <v>14</v>
      </c>
      <c r="H8" s="39">
        <v>11</v>
      </c>
      <c r="I8" s="39">
        <v>15</v>
      </c>
      <c r="J8" s="39">
        <v>18</v>
      </c>
      <c r="K8" s="39">
        <v>13</v>
      </c>
      <c r="L8" s="39">
        <v>1</v>
      </c>
      <c r="M8" s="39"/>
      <c r="N8" s="39">
        <v>12</v>
      </c>
      <c r="O8" s="39">
        <v>10</v>
      </c>
      <c r="P8" s="39">
        <v>16</v>
      </c>
      <c r="Q8" s="39">
        <v>8</v>
      </c>
      <c r="R8" s="39">
        <v>2</v>
      </c>
      <c r="S8" s="39">
        <v>17</v>
      </c>
      <c r="T8" s="39">
        <v>6</v>
      </c>
      <c r="U8" s="39">
        <v>7</v>
      </c>
      <c r="V8" s="39">
        <v>4</v>
      </c>
      <c r="W8" s="39"/>
      <c r="X8" s="39"/>
      <c r="Y8" s="78"/>
      <c r="Z8" s="114"/>
      <c r="AA8" s="115"/>
      <c r="AB8" s="115"/>
      <c r="AC8" s="115"/>
      <c r="AD8" s="115"/>
      <c r="AE8" s="116"/>
      <c r="AF8" s="116"/>
      <c r="AG8" s="9" t="s">
        <v>27</v>
      </c>
      <c r="AH8" s="10">
        <v>70</v>
      </c>
      <c r="AJ8" s="122"/>
      <c r="AK8" s="123"/>
    </row>
    <row r="9" spans="2:37" ht="15.6" thickTop="1" thickBot="1">
      <c r="C9" s="40" t="s">
        <v>90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79"/>
      <c r="Z9" s="111"/>
      <c r="AA9" s="112"/>
      <c r="AB9" s="112"/>
      <c r="AC9" s="112"/>
      <c r="AD9" s="112"/>
      <c r="AE9" s="113"/>
      <c r="AF9" s="116"/>
      <c r="AG9" s="11" t="s">
        <v>32</v>
      </c>
      <c r="AH9" s="12">
        <v>50</v>
      </c>
      <c r="AJ9" s="122"/>
      <c r="AK9" s="117"/>
    </row>
    <row r="10" spans="2:37" ht="15.6" thickTop="1" thickBot="1">
      <c r="B10" s="42" t="s">
        <v>13</v>
      </c>
      <c r="C10" s="54">
        <v>15</v>
      </c>
      <c r="D10" s="43">
        <v>10</v>
      </c>
      <c r="E10" s="43">
        <v>10</v>
      </c>
      <c r="F10" s="43">
        <v>10</v>
      </c>
      <c r="G10" s="43">
        <v>10</v>
      </c>
      <c r="H10" s="43">
        <v>10</v>
      </c>
      <c r="I10" s="43">
        <v>10</v>
      </c>
      <c r="J10" s="43">
        <v>10</v>
      </c>
      <c r="K10" s="43">
        <v>10</v>
      </c>
      <c r="L10" s="43">
        <v>10</v>
      </c>
      <c r="M10" s="43">
        <f t="shared" ref="M10:M17" si="0">SUM(D10:L10)</f>
        <v>90</v>
      </c>
      <c r="N10" s="43">
        <v>10</v>
      </c>
      <c r="O10" s="43">
        <v>10</v>
      </c>
      <c r="P10" s="43">
        <v>10</v>
      </c>
      <c r="Q10" s="43">
        <v>10</v>
      </c>
      <c r="R10" s="43">
        <v>10</v>
      </c>
      <c r="S10" s="43">
        <v>10</v>
      </c>
      <c r="T10" s="43">
        <v>10</v>
      </c>
      <c r="U10" s="43">
        <v>10</v>
      </c>
      <c r="V10" s="43">
        <v>10</v>
      </c>
      <c r="W10" s="43">
        <f t="shared" ref="W10:W17" si="1">SUM(N10:V10)</f>
        <v>90</v>
      </c>
      <c r="X10" s="127">
        <f t="shared" ref="X10:X17" si="2">+M10+W10</f>
        <v>180</v>
      </c>
      <c r="Y10" s="80">
        <f>X11</f>
        <v>0</v>
      </c>
      <c r="Z10" s="108">
        <f>X10-C10</f>
        <v>165</v>
      </c>
      <c r="AA10" s="109"/>
      <c r="AB10" s="109"/>
      <c r="AC10" s="109"/>
      <c r="AD10" s="109"/>
      <c r="AE10" s="110"/>
      <c r="AF10" s="116">
        <v>0</v>
      </c>
      <c r="AG10" s="11" t="s">
        <v>37</v>
      </c>
      <c r="AH10" s="12">
        <v>40</v>
      </c>
      <c r="AJ10" s="35"/>
      <c r="AK10" s="123"/>
    </row>
    <row r="11" spans="2:37" ht="15.6" thickTop="1" thickBot="1">
      <c r="B11" s="44" t="s">
        <v>91</v>
      </c>
      <c r="C11" s="54"/>
      <c r="D11" s="43">
        <f>MAX(0,2+D$7+(D$8&lt;=$C10)+(D$8&lt;=MAX($C10-18,0))+(D$8&lt;=MAX($C10-36,0))-D10)*NOT(ISBLANK($C10))</f>
        <v>0</v>
      </c>
      <c r="E11" s="43">
        <f t="shared" ref="E11:L11" si="3">MAX(0,2+E$7+(E$8&lt;=$C10)+(E$8&lt;=MAX($C10-18,0))+(E$8&lt;=MAX($C10-36,0))-E10)*NOT(ISBLANK($C10))</f>
        <v>0</v>
      </c>
      <c r="F11" s="43">
        <f t="shared" si="3"/>
        <v>0</v>
      </c>
      <c r="G11" s="43">
        <f t="shared" si="3"/>
        <v>0</v>
      </c>
      <c r="H11" s="43">
        <f t="shared" si="3"/>
        <v>0</v>
      </c>
      <c r="I11" s="43">
        <f t="shared" si="3"/>
        <v>0</v>
      </c>
      <c r="J11" s="43">
        <f t="shared" si="3"/>
        <v>0</v>
      </c>
      <c r="K11" s="43">
        <f t="shared" si="3"/>
        <v>0</v>
      </c>
      <c r="L11" s="43">
        <f t="shared" si="3"/>
        <v>0</v>
      </c>
      <c r="M11" s="43">
        <f t="shared" si="0"/>
        <v>0</v>
      </c>
      <c r="N11" s="43">
        <f t="shared" ref="N11:V11" si="4">MAX(0,2+N$7+(N$8&lt;=$C10)+(N$8&lt;=MAX($C10-18,0))+(N$8&lt;=MAX($C10-36,0))-N10)*NOT(ISBLANK($C10))</f>
        <v>0</v>
      </c>
      <c r="O11" s="43">
        <f t="shared" si="4"/>
        <v>0</v>
      </c>
      <c r="P11" s="43">
        <f t="shared" si="4"/>
        <v>0</v>
      </c>
      <c r="Q11" s="43">
        <f t="shared" si="4"/>
        <v>0</v>
      </c>
      <c r="R11" s="43">
        <f t="shared" si="4"/>
        <v>0</v>
      </c>
      <c r="S11" s="43">
        <f t="shared" si="4"/>
        <v>0</v>
      </c>
      <c r="T11" s="43">
        <f t="shared" si="4"/>
        <v>0</v>
      </c>
      <c r="U11" s="43">
        <f t="shared" si="4"/>
        <v>0</v>
      </c>
      <c r="V11" s="43">
        <f t="shared" si="4"/>
        <v>0</v>
      </c>
      <c r="W11" s="43">
        <f t="shared" si="1"/>
        <v>0</v>
      </c>
      <c r="X11" s="43">
        <f t="shared" si="2"/>
        <v>0</v>
      </c>
      <c r="Y11" s="80"/>
      <c r="Z11" s="105" cm="1">
        <f t="array" ref="Z11">_xlfn.IFS(
    AND(Z10 &gt;= 50, Z10 &lt;= 70), 70,
    AND(Z10 &gt;= 70, Z10 &lt;= 75), 50,
    AND(Z10 &gt;= 75, Z10 &lt;= 80), 40,
    AND(Z10 &gt;= 81, Z10 &lt;= 85), 35,
    AND(Z10 &gt;= 85, Z10 &lt;= 90), 30,
    AND(Z10 &gt;= 90, Z10 &lt;= 110), 25,
 AND(Z10 &gt;= 110),0
)</f>
        <v>0</v>
      </c>
      <c r="AA11" s="106">
        <f>SUMIF(D11:L11, "&gt;2")+SUMIF(N11:V11, "&gt;2")</f>
        <v>0</v>
      </c>
      <c r="AB11" s="128">
        <v>0</v>
      </c>
      <c r="AC11" s="128">
        <v>0</v>
      </c>
      <c r="AD11" s="128">
        <v>0</v>
      </c>
      <c r="AE11" s="107">
        <f>SUM(Z11:AD11)</f>
        <v>0</v>
      </c>
      <c r="AF11" s="116"/>
      <c r="AG11" s="11" t="s">
        <v>40</v>
      </c>
      <c r="AH11" s="12">
        <v>35</v>
      </c>
      <c r="AJ11" s="35"/>
      <c r="AK11" s="118"/>
    </row>
    <row r="12" spans="2:37" ht="15.6" thickTop="1" thickBot="1">
      <c r="B12" s="45" t="s">
        <v>14</v>
      </c>
      <c r="C12" s="55">
        <v>20</v>
      </c>
      <c r="D12" s="234">
        <v>10</v>
      </c>
      <c r="E12" s="234">
        <v>10</v>
      </c>
      <c r="F12" s="234">
        <v>10</v>
      </c>
      <c r="G12" s="234">
        <v>10</v>
      </c>
      <c r="H12" s="234">
        <v>10</v>
      </c>
      <c r="I12" s="234">
        <v>10</v>
      </c>
      <c r="J12" s="234">
        <v>10</v>
      </c>
      <c r="K12" s="234">
        <v>10</v>
      </c>
      <c r="L12" s="234">
        <v>10</v>
      </c>
      <c r="M12" s="46">
        <f t="shared" si="0"/>
        <v>90</v>
      </c>
      <c r="N12" s="234">
        <v>10</v>
      </c>
      <c r="O12" s="234">
        <v>10</v>
      </c>
      <c r="P12" s="234">
        <v>10</v>
      </c>
      <c r="Q12" s="234">
        <v>10</v>
      </c>
      <c r="R12" s="234">
        <v>10</v>
      </c>
      <c r="S12" s="234">
        <v>10</v>
      </c>
      <c r="T12" s="234">
        <v>10</v>
      </c>
      <c r="U12" s="234">
        <v>10</v>
      </c>
      <c r="V12" s="234">
        <v>10</v>
      </c>
      <c r="W12" s="46">
        <f t="shared" si="1"/>
        <v>90</v>
      </c>
      <c r="X12" s="126">
        <f t="shared" si="2"/>
        <v>180</v>
      </c>
      <c r="Y12" s="81">
        <f>X13</f>
        <v>0</v>
      </c>
      <c r="Z12" s="102">
        <f>X12-C12</f>
        <v>160</v>
      </c>
      <c r="AA12" s="103"/>
      <c r="AB12" s="103"/>
      <c r="AC12" s="103"/>
      <c r="AD12" s="103"/>
      <c r="AE12" s="104"/>
      <c r="AF12" s="116">
        <v>0</v>
      </c>
      <c r="AG12" s="11" t="s">
        <v>42</v>
      </c>
      <c r="AH12" s="12">
        <v>30</v>
      </c>
      <c r="AJ12" s="36"/>
      <c r="AK12" s="123"/>
    </row>
    <row r="13" spans="2:37" ht="15.6" thickTop="1" thickBot="1">
      <c r="B13" s="47" t="s">
        <v>91</v>
      </c>
      <c r="C13" s="55"/>
      <c r="D13" s="46">
        <f>MAX(0,2+D$7+(D$8&lt;=$C12)+(D$8&lt;=MAX($C12-18,0))+(D$8&lt;=MAX($C12-36,0))-D12)*NOT(ISBLANK($C12))</f>
        <v>0</v>
      </c>
      <c r="E13" s="46">
        <f t="shared" ref="E13:L13" si="5">MAX(0,2+E$7+(E$8&lt;=$C12)+(E$8&lt;=MAX($C12-18,0))+(E$8&lt;=MAX($C12-36,0))-E12)*NOT(ISBLANK($C12))</f>
        <v>0</v>
      </c>
      <c r="F13" s="46">
        <f t="shared" si="5"/>
        <v>0</v>
      </c>
      <c r="G13" s="46">
        <f t="shared" si="5"/>
        <v>0</v>
      </c>
      <c r="H13" s="46">
        <f t="shared" si="5"/>
        <v>0</v>
      </c>
      <c r="I13" s="46">
        <f t="shared" si="5"/>
        <v>0</v>
      </c>
      <c r="J13" s="46">
        <f t="shared" si="5"/>
        <v>0</v>
      </c>
      <c r="K13" s="46">
        <f t="shared" si="5"/>
        <v>0</v>
      </c>
      <c r="L13" s="46">
        <f t="shared" si="5"/>
        <v>0</v>
      </c>
      <c r="M13" s="46">
        <f t="shared" si="0"/>
        <v>0</v>
      </c>
      <c r="N13" s="46">
        <f t="shared" ref="N13:V13" si="6">MAX(0,2+N$7+(N$8&lt;=$C12)+(N$8&lt;=MAX($C12-18,0))+(N$8&lt;=MAX($C12-36,0))-N12)*NOT(ISBLANK($C12))</f>
        <v>0</v>
      </c>
      <c r="O13" s="46">
        <f t="shared" si="6"/>
        <v>0</v>
      </c>
      <c r="P13" s="46">
        <f t="shared" si="6"/>
        <v>0</v>
      </c>
      <c r="Q13" s="46">
        <f t="shared" si="6"/>
        <v>0</v>
      </c>
      <c r="R13" s="46">
        <f t="shared" si="6"/>
        <v>0</v>
      </c>
      <c r="S13" s="46">
        <f t="shared" si="6"/>
        <v>0</v>
      </c>
      <c r="T13" s="46">
        <f t="shared" si="6"/>
        <v>0</v>
      </c>
      <c r="U13" s="46">
        <f t="shared" si="6"/>
        <v>0</v>
      </c>
      <c r="V13" s="46">
        <f t="shared" si="6"/>
        <v>0</v>
      </c>
      <c r="W13" s="46">
        <f t="shared" si="1"/>
        <v>0</v>
      </c>
      <c r="X13" s="46">
        <f t="shared" si="2"/>
        <v>0</v>
      </c>
      <c r="Y13" s="81"/>
      <c r="Z13" s="99" cm="1">
        <f t="array" ref="Z13">_xlfn.IFS(
    AND(Z12 &gt;= 50, Z12 &lt;= 70), 70,
    AND(Z12 &gt;= 70, Z12 &lt;= 75), 50,
    AND(Z12 &gt;= 75, Z12 &lt;= 80), 40,
    AND(Z12 &gt;= 81, Z12 &lt;= 85), 35,
    AND(Z12 &gt;= 85, Z12 &lt;= 90), 30,
    AND(Z12 &gt;= 90, Z12 &lt;= 110), 25,
 AND(Z12 &gt;= 110),0
)</f>
        <v>0</v>
      </c>
      <c r="AA13" s="100">
        <f>SUMIF(D13:L13, "&gt;2")+SUMIF(N13:V13, "&gt;2")</f>
        <v>0</v>
      </c>
      <c r="AB13" s="128">
        <v>0</v>
      </c>
      <c r="AC13" s="128">
        <v>0</v>
      </c>
      <c r="AD13" s="128">
        <v>0</v>
      </c>
      <c r="AE13" s="101">
        <f>SUM(Z13:AD13)</f>
        <v>0</v>
      </c>
      <c r="AF13" s="116"/>
      <c r="AG13" s="13" t="s">
        <v>44</v>
      </c>
      <c r="AH13" s="14">
        <v>25</v>
      </c>
      <c r="AJ13" s="36"/>
      <c r="AK13" s="119"/>
    </row>
    <row r="14" spans="2:37" ht="15.6" thickTop="1" thickBot="1">
      <c r="B14" s="48" t="s">
        <v>12</v>
      </c>
      <c r="C14" s="56">
        <v>25</v>
      </c>
      <c r="D14" s="235">
        <v>10</v>
      </c>
      <c r="E14" s="235">
        <v>10</v>
      </c>
      <c r="F14" s="235">
        <v>10</v>
      </c>
      <c r="G14" s="235">
        <v>10</v>
      </c>
      <c r="H14" s="235">
        <v>10</v>
      </c>
      <c r="I14" s="235">
        <v>10</v>
      </c>
      <c r="J14" s="235">
        <v>10</v>
      </c>
      <c r="K14" s="235">
        <v>10</v>
      </c>
      <c r="L14" s="235">
        <v>10</v>
      </c>
      <c r="M14" s="49">
        <f t="shared" si="0"/>
        <v>90</v>
      </c>
      <c r="N14" s="235">
        <v>10</v>
      </c>
      <c r="O14" s="235">
        <v>10</v>
      </c>
      <c r="P14" s="235">
        <v>10</v>
      </c>
      <c r="Q14" s="235">
        <v>10</v>
      </c>
      <c r="R14" s="235">
        <v>10</v>
      </c>
      <c r="S14" s="235">
        <v>10</v>
      </c>
      <c r="T14" s="235">
        <v>10</v>
      </c>
      <c r="U14" s="235">
        <v>10</v>
      </c>
      <c r="V14" s="235">
        <v>10</v>
      </c>
      <c r="W14" s="49">
        <f t="shared" si="1"/>
        <v>90</v>
      </c>
      <c r="X14" s="125">
        <f t="shared" si="2"/>
        <v>180</v>
      </c>
      <c r="Y14" s="82">
        <f>X15</f>
        <v>0</v>
      </c>
      <c r="Z14" s="96">
        <f>X14-C14</f>
        <v>155</v>
      </c>
      <c r="AA14" s="97"/>
      <c r="AB14" s="97"/>
      <c r="AC14" s="97"/>
      <c r="AD14" s="97"/>
      <c r="AE14" s="98"/>
      <c r="AF14" s="116">
        <v>0</v>
      </c>
      <c r="AG14" s="15" t="s">
        <v>46</v>
      </c>
      <c r="AH14" s="16" t="s">
        <v>47</v>
      </c>
      <c r="AJ14" s="37"/>
      <c r="AK14" s="123"/>
    </row>
    <row r="15" spans="2:37" ht="15.6" thickTop="1" thickBot="1">
      <c r="B15" s="50" t="s">
        <v>91</v>
      </c>
      <c r="C15" s="56"/>
      <c r="D15" s="49">
        <f>MAX(0,2+D$7+(D$8&lt;=$C14)+(D$8&lt;=MAX($C14-18,0))+(D$8&lt;=MAX($C14-36,0))-D14)*NOT(ISBLANK($C14))</f>
        <v>0</v>
      </c>
      <c r="E15" s="49">
        <f t="shared" ref="E15:L15" si="7">MAX(0,2+E$7+(E$8&lt;=$C14)+(E$8&lt;=MAX($C14-18,0))+(E$8&lt;=MAX($C14-36,0))-E14)*NOT(ISBLANK($C14))</f>
        <v>0</v>
      </c>
      <c r="F15" s="49">
        <f t="shared" si="7"/>
        <v>0</v>
      </c>
      <c r="G15" s="49">
        <f t="shared" si="7"/>
        <v>0</v>
      </c>
      <c r="H15" s="49">
        <f t="shared" si="7"/>
        <v>0</v>
      </c>
      <c r="I15" s="49">
        <f t="shared" si="7"/>
        <v>0</v>
      </c>
      <c r="J15" s="49">
        <f t="shared" si="7"/>
        <v>0</v>
      </c>
      <c r="K15" s="49">
        <f t="shared" si="7"/>
        <v>0</v>
      </c>
      <c r="L15" s="49">
        <f t="shared" si="7"/>
        <v>0</v>
      </c>
      <c r="M15" s="49">
        <f t="shared" si="0"/>
        <v>0</v>
      </c>
      <c r="N15" s="49">
        <f t="shared" ref="N15:V15" si="8">MAX(0,2+N$7+(N$8&lt;=$C14)+(N$8&lt;=MAX($C14-18,0))+(N$8&lt;=MAX($C14-36,0))-N14)*NOT(ISBLANK($C14))</f>
        <v>0</v>
      </c>
      <c r="O15" s="49">
        <f t="shared" si="8"/>
        <v>0</v>
      </c>
      <c r="P15" s="49">
        <f t="shared" si="8"/>
        <v>0</v>
      </c>
      <c r="Q15" s="49">
        <f t="shared" si="8"/>
        <v>0</v>
      </c>
      <c r="R15" s="49">
        <f t="shared" si="8"/>
        <v>0</v>
      </c>
      <c r="S15" s="49">
        <f t="shared" si="8"/>
        <v>0</v>
      </c>
      <c r="T15" s="49">
        <f t="shared" si="8"/>
        <v>0</v>
      </c>
      <c r="U15" s="49">
        <f t="shared" si="8"/>
        <v>0</v>
      </c>
      <c r="V15" s="49">
        <f t="shared" si="8"/>
        <v>0</v>
      </c>
      <c r="W15" s="49">
        <f t="shared" si="1"/>
        <v>0</v>
      </c>
      <c r="X15" s="49">
        <f t="shared" si="2"/>
        <v>0</v>
      </c>
      <c r="Y15" s="82"/>
      <c r="Z15" s="93" cm="1">
        <f t="array" ref="Z15">_xlfn.IFS(
    AND(Z14 &gt;= 50, Z14 &lt;= 70), 70,
    AND(Z14 &gt;= 70, Z14 &lt;= 75), 50,
    AND(Z14 &gt;= 75, Z14 &lt;= 80), 40,
    AND(Z14 &gt;= 81, Z14 &lt;= 85), 35,
    AND(Z14 &gt;= 85, Z14 &lt;= 90), 30,
    AND(Z14 &gt;= 90, Z14 &lt;= 110), 25,
 AND(Z14 &gt;= 110),0
)</f>
        <v>0</v>
      </c>
      <c r="AA15" s="94">
        <f>SUMIF(D15:L15, "&gt;2")+SUMIF(N15:V15, "&gt;2")</f>
        <v>0</v>
      </c>
      <c r="AB15" s="128">
        <v>0</v>
      </c>
      <c r="AC15" s="128">
        <v>0</v>
      </c>
      <c r="AD15" s="128">
        <v>0</v>
      </c>
      <c r="AE15" s="95">
        <f>SUM(Z15:AD15)</f>
        <v>0</v>
      </c>
      <c r="AF15" s="116"/>
      <c r="AG15" s="9" t="s">
        <v>49</v>
      </c>
      <c r="AH15" s="10">
        <v>5</v>
      </c>
      <c r="AJ15" s="37"/>
      <c r="AK15" s="120"/>
    </row>
    <row r="16" spans="2:37" ht="15.6" thickTop="1" thickBot="1">
      <c r="B16" s="51" t="s">
        <v>11</v>
      </c>
      <c r="C16" s="57">
        <v>18</v>
      </c>
      <c r="D16" s="236">
        <v>10</v>
      </c>
      <c r="E16" s="236">
        <v>10</v>
      </c>
      <c r="F16" s="236">
        <v>10</v>
      </c>
      <c r="G16" s="236">
        <v>10</v>
      </c>
      <c r="H16" s="236">
        <v>10</v>
      </c>
      <c r="I16" s="236">
        <v>10</v>
      </c>
      <c r="J16" s="236">
        <v>10</v>
      </c>
      <c r="K16" s="236">
        <v>10</v>
      </c>
      <c r="L16" s="236">
        <v>10</v>
      </c>
      <c r="M16" s="52">
        <f t="shared" si="0"/>
        <v>90</v>
      </c>
      <c r="N16" s="236">
        <v>10</v>
      </c>
      <c r="O16" s="236">
        <v>10</v>
      </c>
      <c r="P16" s="236">
        <v>10</v>
      </c>
      <c r="Q16" s="236">
        <v>10</v>
      </c>
      <c r="R16" s="236">
        <v>10</v>
      </c>
      <c r="S16" s="236">
        <v>10</v>
      </c>
      <c r="T16" s="236">
        <v>10</v>
      </c>
      <c r="U16" s="236">
        <v>10</v>
      </c>
      <c r="V16" s="236">
        <v>10</v>
      </c>
      <c r="W16" s="52">
        <f t="shared" si="1"/>
        <v>90</v>
      </c>
      <c r="X16" s="124">
        <f t="shared" si="2"/>
        <v>180</v>
      </c>
      <c r="Y16" s="83">
        <f t="shared" ref="Y16" si="9">X17</f>
        <v>0</v>
      </c>
      <c r="Z16" s="90">
        <f>X16-C16</f>
        <v>162</v>
      </c>
      <c r="AA16" s="91"/>
      <c r="AB16" s="91"/>
      <c r="AC16" s="91"/>
      <c r="AD16" s="91"/>
      <c r="AE16" s="92"/>
      <c r="AF16" s="116">
        <v>0</v>
      </c>
      <c r="AG16" s="11" t="s">
        <v>51</v>
      </c>
      <c r="AH16" s="12">
        <v>5</v>
      </c>
    </row>
    <row r="17" spans="2:34" ht="15.6" thickTop="1" thickBot="1">
      <c r="B17" s="53" t="s">
        <v>91</v>
      </c>
      <c r="C17" s="57"/>
      <c r="D17" s="52">
        <f t="shared" ref="D17:L17" si="10">MAX(0,2+D$7+(D$8&lt;=$C16)+(D$8&lt;=MAX($C16-18,0))+(D$8&lt;=MAX($C16-36,0))-D16)*NOT(ISBLANK($C16))</f>
        <v>0</v>
      </c>
      <c r="E17" s="52">
        <f t="shared" si="10"/>
        <v>0</v>
      </c>
      <c r="F17" s="52">
        <f t="shared" si="10"/>
        <v>0</v>
      </c>
      <c r="G17" s="52">
        <f t="shared" si="10"/>
        <v>0</v>
      </c>
      <c r="H17" s="52">
        <f t="shared" si="10"/>
        <v>0</v>
      </c>
      <c r="I17" s="52">
        <f t="shared" si="10"/>
        <v>0</v>
      </c>
      <c r="J17" s="52">
        <f t="shared" si="10"/>
        <v>0</v>
      </c>
      <c r="K17" s="52">
        <f t="shared" si="10"/>
        <v>0</v>
      </c>
      <c r="L17" s="52">
        <f t="shared" si="10"/>
        <v>0</v>
      </c>
      <c r="M17" s="52">
        <f t="shared" si="0"/>
        <v>0</v>
      </c>
      <c r="N17" s="52">
        <f t="shared" ref="N17:V17" si="11">MAX(0,2+N$7+(N$8&lt;=$C16)+(N$8&lt;=MAX($C16-18,0))+(N$8&lt;=MAX($C16-36,0))-N16)*NOT(ISBLANK($C16))</f>
        <v>0</v>
      </c>
      <c r="O17" s="52">
        <f t="shared" si="11"/>
        <v>0</v>
      </c>
      <c r="P17" s="52">
        <f t="shared" si="11"/>
        <v>0</v>
      </c>
      <c r="Q17" s="52">
        <f t="shared" si="11"/>
        <v>0</v>
      </c>
      <c r="R17" s="52">
        <f t="shared" si="11"/>
        <v>0</v>
      </c>
      <c r="S17" s="52">
        <f t="shared" si="11"/>
        <v>0</v>
      </c>
      <c r="T17" s="52">
        <f t="shared" si="11"/>
        <v>0</v>
      </c>
      <c r="U17" s="52">
        <f t="shared" si="11"/>
        <v>0</v>
      </c>
      <c r="V17" s="52">
        <f t="shared" si="11"/>
        <v>0</v>
      </c>
      <c r="W17" s="52">
        <f t="shared" si="1"/>
        <v>0</v>
      </c>
      <c r="X17" s="52">
        <f t="shared" si="2"/>
        <v>0</v>
      </c>
      <c r="Y17" s="83"/>
      <c r="Z17" s="87" cm="1">
        <f t="array" ref="Z17">_xlfn.IFS(
    AND(Z16 &gt;= 50, Z16 &lt;= 70), 70,
    AND(Z16 &gt;= 70, Z16 &lt;= 75), 50,
    AND(Z16 &gt;= 75, Z16 &lt;= 80), 40,
    AND(Z16 &gt;= 81, Z16 &lt;= 85), 35,
    AND(Z16 &gt;= 85, Z16 &lt;= 90), 30,
    AND(Z16 &gt;= 90, Z16 &lt;= 110), 25,
 AND(Z16 &gt;= 110),0
)</f>
        <v>0</v>
      </c>
      <c r="AA17" s="88">
        <f>SUMIF(D17:L17, "&gt;2")+SUMIF(N17:V17, "&gt;2")</f>
        <v>0</v>
      </c>
      <c r="AB17" s="128">
        <v>0</v>
      </c>
      <c r="AC17" s="128">
        <v>0</v>
      </c>
      <c r="AD17" s="128">
        <v>0</v>
      </c>
      <c r="AE17" s="89">
        <f>SUM(Z17:AD17)</f>
        <v>0</v>
      </c>
      <c r="AF17" s="116"/>
      <c r="AG17" s="17" t="s">
        <v>4</v>
      </c>
      <c r="AH17" s="18">
        <v>10</v>
      </c>
    </row>
    <row r="18" spans="2:34" ht="15" thickTop="1"/>
    <row r="20" spans="2:34" ht="15" thickBot="1">
      <c r="C20" s="2"/>
      <c r="O20" s="8"/>
    </row>
    <row r="21" spans="2:34" ht="15.6" thickTop="1" thickBot="1">
      <c r="B21" s="78" t="s">
        <v>92</v>
      </c>
      <c r="C21" s="46">
        <v>73</v>
      </c>
      <c r="O21" s="8"/>
    </row>
    <row r="22" spans="2:34" ht="15.6" thickTop="1" thickBot="1">
      <c r="B22" s="78" t="s">
        <v>93</v>
      </c>
      <c r="C22" s="46">
        <v>135</v>
      </c>
      <c r="O22" s="8"/>
    </row>
    <row r="23" spans="2:34" ht="15.6" thickTop="1" thickBot="1">
      <c r="B23" s="78" t="s">
        <v>88</v>
      </c>
      <c r="C23" s="46">
        <v>72</v>
      </c>
      <c r="O23" s="8"/>
    </row>
    <row r="24" spans="2:34" ht="15" thickTop="1">
      <c r="O24" s="8"/>
    </row>
    <row r="25" spans="2:34">
      <c r="O25" s="8"/>
    </row>
    <row r="26" spans="2:34">
      <c r="O26" s="8"/>
    </row>
    <row r="27" spans="2:34">
      <c r="O27" s="8"/>
    </row>
    <row r="28" spans="2:34">
      <c r="O28" s="8"/>
    </row>
  </sheetData>
  <mergeCells count="2">
    <mergeCell ref="C4:AE4"/>
    <mergeCell ref="C5:AE5"/>
  </mergeCells>
  <conditionalFormatting sqref="D11:V11">
    <cfRule type="cellIs" dxfId="5" priority="2" operator="between">
      <formula>3</formula>
      <formula>5</formula>
    </cfRule>
  </conditionalFormatting>
  <conditionalFormatting sqref="D13:V13 D15:V15 D17:V17">
    <cfRule type="cellIs" dxfId="4" priority="1" operator="between">
      <formula>3</formula>
      <formula>5</formula>
    </cfRule>
  </conditionalFormatting>
  <pageMargins left="0.7" right="0.7" top="0.75" bottom="0.75" header="0.3" footer="0.3"/>
  <headerFooter>
    <oddFooter>&amp;C_x000D_&amp;1#&amp;"Calibri"&amp;10&amp;K000000 OFFICIAL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52D7-FB59-4486-AEAD-82D05C688C04}">
  <dimension ref="B3:AK28"/>
  <sheetViews>
    <sheetView showGridLines="0" zoomScale="99" workbookViewId="0">
      <selection sqref="A1:XFD1048576"/>
    </sheetView>
  </sheetViews>
  <sheetFormatPr defaultColWidth="8.85546875" defaultRowHeight="14.45"/>
  <cols>
    <col min="1" max="1" width="8.85546875" style="5"/>
    <col min="2" max="2" width="13.42578125" style="1" customWidth="1"/>
    <col min="3" max="3" width="7.140625" style="1" customWidth="1"/>
    <col min="4" max="5" width="5.42578125" style="4" customWidth="1"/>
    <col min="6" max="6" width="5.7109375" style="4" customWidth="1"/>
    <col min="7" max="7" width="5.85546875" style="4" customWidth="1"/>
    <col min="8" max="8" width="5.42578125" style="4" customWidth="1"/>
    <col min="9" max="9" width="6" style="4" customWidth="1"/>
    <col min="10" max="10" width="5.7109375" style="4" customWidth="1"/>
    <col min="11" max="11" width="6" style="4" customWidth="1"/>
    <col min="12" max="12" width="5.42578125" style="4" customWidth="1"/>
    <col min="13" max="13" width="6.85546875" style="3" customWidth="1"/>
    <col min="14" max="14" width="6" style="4" customWidth="1"/>
    <col min="15" max="15" width="5.85546875" style="4" customWidth="1"/>
    <col min="16" max="16" width="6.140625" style="4" customWidth="1"/>
    <col min="17" max="19" width="5.42578125" style="4" customWidth="1"/>
    <col min="20" max="20" width="5.28515625" style="4" customWidth="1"/>
    <col min="21" max="21" width="5.140625" style="4" customWidth="1"/>
    <col min="22" max="22" width="5.42578125" style="4" customWidth="1"/>
    <col min="23" max="23" width="7.28515625" style="3" customWidth="1"/>
    <col min="24" max="24" width="5.7109375" style="3" customWidth="1"/>
    <col min="25" max="25" width="6.5703125" style="3" customWidth="1"/>
    <col min="26" max="32" width="8.85546875" style="5"/>
    <col min="33" max="33" width="9.7109375" style="5" bestFit="1" customWidth="1"/>
    <col min="34" max="34" width="11.42578125" style="5" bestFit="1" customWidth="1"/>
    <col min="35" max="35" width="8.85546875" style="5"/>
    <col min="36" max="36" width="7.28515625" style="5" customWidth="1"/>
    <col min="37" max="37" width="13.85546875" style="5" bestFit="1" customWidth="1"/>
    <col min="38" max="16384" width="8.85546875" style="5"/>
  </cols>
  <sheetData>
    <row r="3" spans="2:37" ht="15" thickBot="1"/>
    <row r="4" spans="2:37" ht="15.6" thickTop="1" thickBot="1">
      <c r="C4" s="268" t="s">
        <v>82</v>
      </c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69"/>
    </row>
    <row r="5" spans="2:37" ht="15.6" thickTop="1" thickBot="1">
      <c r="C5" s="268" t="s">
        <v>83</v>
      </c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70"/>
      <c r="AA5" s="270"/>
      <c r="AB5" s="270"/>
      <c r="AC5" s="270"/>
      <c r="AD5" s="270"/>
      <c r="AE5" s="270"/>
    </row>
    <row r="6" spans="2:37" s="1" customFormat="1" ht="15.6" thickTop="1" thickBot="1">
      <c r="C6" s="38" t="s">
        <v>84</v>
      </c>
      <c r="D6" s="39">
        <v>1</v>
      </c>
      <c r="E6" s="39">
        <v>2</v>
      </c>
      <c r="F6" s="39">
        <v>3</v>
      </c>
      <c r="G6" s="39">
        <v>4</v>
      </c>
      <c r="H6" s="39">
        <v>5</v>
      </c>
      <c r="I6" s="39">
        <v>6</v>
      </c>
      <c r="J6" s="39">
        <v>7</v>
      </c>
      <c r="K6" s="39">
        <v>8</v>
      </c>
      <c r="L6" s="39">
        <v>9</v>
      </c>
      <c r="M6" s="39" t="s">
        <v>85</v>
      </c>
      <c r="N6" s="39">
        <v>10</v>
      </c>
      <c r="O6" s="39">
        <v>11</v>
      </c>
      <c r="P6" s="39">
        <v>12</v>
      </c>
      <c r="Q6" s="39">
        <v>13</v>
      </c>
      <c r="R6" s="39">
        <v>14</v>
      </c>
      <c r="S6" s="39">
        <v>15</v>
      </c>
      <c r="T6" s="39">
        <v>16</v>
      </c>
      <c r="U6" s="39">
        <v>17</v>
      </c>
      <c r="V6" s="39">
        <v>18</v>
      </c>
      <c r="W6" s="39" t="s">
        <v>86</v>
      </c>
      <c r="X6" s="39" t="s">
        <v>7</v>
      </c>
      <c r="Y6" s="78" t="s">
        <v>87</v>
      </c>
      <c r="Z6" s="84" t="s">
        <v>2</v>
      </c>
      <c r="AA6" s="85" t="s">
        <v>3</v>
      </c>
      <c r="AB6" s="85" t="s">
        <v>4</v>
      </c>
      <c r="AC6" s="85" t="s">
        <v>5</v>
      </c>
      <c r="AD6" s="85" t="s">
        <v>6</v>
      </c>
      <c r="AE6" s="86" t="s">
        <v>7</v>
      </c>
      <c r="AF6" s="86" t="s">
        <v>9</v>
      </c>
    </row>
    <row r="7" spans="2:37" s="1" customFormat="1" ht="15.6" thickTop="1" thickBot="1">
      <c r="C7" s="38" t="s">
        <v>88</v>
      </c>
      <c r="D7" s="39">
        <v>4</v>
      </c>
      <c r="E7" s="39">
        <v>5</v>
      </c>
      <c r="F7" s="39">
        <v>4</v>
      </c>
      <c r="G7" s="39">
        <v>3</v>
      </c>
      <c r="H7" s="39">
        <v>4</v>
      </c>
      <c r="I7" s="39">
        <v>4</v>
      </c>
      <c r="J7" s="39">
        <v>3</v>
      </c>
      <c r="K7" s="39">
        <v>5</v>
      </c>
      <c r="L7" s="39">
        <v>4</v>
      </c>
      <c r="M7" s="39">
        <f>SUM(D7:L7)</f>
        <v>36</v>
      </c>
      <c r="N7" s="39">
        <v>5</v>
      </c>
      <c r="O7" s="39">
        <v>4</v>
      </c>
      <c r="P7" s="39">
        <v>3</v>
      </c>
      <c r="Q7" s="39">
        <v>4</v>
      </c>
      <c r="R7" s="39">
        <v>4</v>
      </c>
      <c r="S7" s="39">
        <v>3</v>
      </c>
      <c r="T7" s="39">
        <v>4</v>
      </c>
      <c r="U7" s="39">
        <v>4</v>
      </c>
      <c r="V7" s="39">
        <v>5</v>
      </c>
      <c r="W7" s="39">
        <f>SUM(N7:V7)</f>
        <v>36</v>
      </c>
      <c r="X7" s="39">
        <f>M7+W7</f>
        <v>72</v>
      </c>
      <c r="Y7" s="78"/>
      <c r="Z7" s="111"/>
      <c r="AA7" s="112" t="s">
        <v>18</v>
      </c>
      <c r="AB7" s="112" t="s">
        <v>18</v>
      </c>
      <c r="AC7" s="112" t="s">
        <v>18</v>
      </c>
      <c r="AD7" s="112" t="s">
        <v>18</v>
      </c>
      <c r="AE7" s="113" t="s">
        <v>18</v>
      </c>
      <c r="AF7" s="86"/>
      <c r="AG7" s="6" t="s">
        <v>17</v>
      </c>
      <c r="AH7" s="7" t="s">
        <v>18</v>
      </c>
      <c r="AJ7" s="121"/>
      <c r="AK7" s="121"/>
    </row>
    <row r="8" spans="2:37" s="1" customFormat="1" ht="15.6" thickTop="1" thickBot="1">
      <c r="C8" s="38" t="s">
        <v>89</v>
      </c>
      <c r="D8" s="39">
        <v>5</v>
      </c>
      <c r="E8" s="39">
        <v>9</v>
      </c>
      <c r="F8" s="39">
        <v>3</v>
      </c>
      <c r="G8" s="39">
        <v>14</v>
      </c>
      <c r="H8" s="39">
        <v>11</v>
      </c>
      <c r="I8" s="39">
        <v>15</v>
      </c>
      <c r="J8" s="39">
        <v>18</v>
      </c>
      <c r="K8" s="39">
        <v>13</v>
      </c>
      <c r="L8" s="39">
        <v>1</v>
      </c>
      <c r="M8" s="39"/>
      <c r="N8" s="39">
        <v>12</v>
      </c>
      <c r="O8" s="39">
        <v>10</v>
      </c>
      <c r="P8" s="39">
        <v>16</v>
      </c>
      <c r="Q8" s="39">
        <v>8</v>
      </c>
      <c r="R8" s="39">
        <v>2</v>
      </c>
      <c r="S8" s="39">
        <v>17</v>
      </c>
      <c r="T8" s="39">
        <v>6</v>
      </c>
      <c r="U8" s="39">
        <v>7</v>
      </c>
      <c r="V8" s="39">
        <v>4</v>
      </c>
      <c r="W8" s="39"/>
      <c r="X8" s="39"/>
      <c r="Y8" s="78"/>
      <c r="Z8" s="114"/>
      <c r="AA8" s="115"/>
      <c r="AB8" s="115"/>
      <c r="AC8" s="115"/>
      <c r="AD8" s="115"/>
      <c r="AE8" s="116"/>
      <c r="AF8" s="116"/>
      <c r="AG8" s="9" t="s">
        <v>27</v>
      </c>
      <c r="AH8" s="10">
        <v>70</v>
      </c>
      <c r="AJ8" s="122"/>
      <c r="AK8" s="123"/>
    </row>
    <row r="9" spans="2:37" ht="15.6" thickTop="1" thickBot="1">
      <c r="C9" s="40" t="s">
        <v>90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79"/>
      <c r="Z9" s="111"/>
      <c r="AA9" s="112"/>
      <c r="AB9" s="112"/>
      <c r="AC9" s="112"/>
      <c r="AD9" s="112"/>
      <c r="AE9" s="113"/>
      <c r="AF9" s="116"/>
      <c r="AG9" s="11" t="s">
        <v>32</v>
      </c>
      <c r="AH9" s="12">
        <v>50</v>
      </c>
      <c r="AJ9" s="122"/>
      <c r="AK9" s="117"/>
    </row>
    <row r="10" spans="2:37" ht="15.6" thickTop="1" thickBot="1">
      <c r="B10" s="42" t="s">
        <v>13</v>
      </c>
      <c r="C10" s="54">
        <v>15</v>
      </c>
      <c r="D10" s="43">
        <v>10</v>
      </c>
      <c r="E10" s="43">
        <v>10</v>
      </c>
      <c r="F10" s="43">
        <v>10</v>
      </c>
      <c r="G10" s="43">
        <v>10</v>
      </c>
      <c r="H10" s="43">
        <v>10</v>
      </c>
      <c r="I10" s="43">
        <v>10</v>
      </c>
      <c r="J10" s="43">
        <v>10</v>
      </c>
      <c r="K10" s="43">
        <v>10</v>
      </c>
      <c r="L10" s="43">
        <v>10</v>
      </c>
      <c r="M10" s="43">
        <f t="shared" ref="M10:M17" si="0">SUM(D10:L10)</f>
        <v>90</v>
      </c>
      <c r="N10" s="43">
        <v>10</v>
      </c>
      <c r="O10" s="43">
        <v>10</v>
      </c>
      <c r="P10" s="43">
        <v>10</v>
      </c>
      <c r="Q10" s="43">
        <v>10</v>
      </c>
      <c r="R10" s="43">
        <v>10</v>
      </c>
      <c r="S10" s="43">
        <v>10</v>
      </c>
      <c r="T10" s="43">
        <v>10</v>
      </c>
      <c r="U10" s="43">
        <v>10</v>
      </c>
      <c r="V10" s="43">
        <v>10</v>
      </c>
      <c r="W10" s="43">
        <f t="shared" ref="W10:W17" si="1">SUM(N10:V10)</f>
        <v>90</v>
      </c>
      <c r="X10" s="127">
        <f t="shared" ref="X10:X17" si="2">+M10+W10</f>
        <v>180</v>
      </c>
      <c r="Y10" s="80">
        <f>X11</f>
        <v>0</v>
      </c>
      <c r="Z10" s="108">
        <f>X10-C10</f>
        <v>165</v>
      </c>
      <c r="AA10" s="109"/>
      <c r="AB10" s="109"/>
      <c r="AC10" s="109"/>
      <c r="AD10" s="109"/>
      <c r="AE10" s="110"/>
      <c r="AF10" s="116">
        <v>0</v>
      </c>
      <c r="AG10" s="11" t="s">
        <v>37</v>
      </c>
      <c r="AH10" s="12">
        <v>40</v>
      </c>
      <c r="AJ10" s="35"/>
      <c r="AK10" s="123"/>
    </row>
    <row r="11" spans="2:37" ht="15.6" thickTop="1" thickBot="1">
      <c r="B11" s="44" t="s">
        <v>91</v>
      </c>
      <c r="C11" s="54"/>
      <c r="D11" s="43">
        <f>MAX(0,2+D$7+(D$8&lt;=$C10)+(D$8&lt;=MAX($C10-18,0))+(D$8&lt;=MAX($C10-36,0))-D10)*NOT(ISBLANK($C10))</f>
        <v>0</v>
      </c>
      <c r="E11" s="43">
        <f t="shared" ref="E11:L11" si="3">MAX(0,2+E$7+(E$8&lt;=$C10)+(E$8&lt;=MAX($C10-18,0))+(E$8&lt;=MAX($C10-36,0))-E10)*NOT(ISBLANK($C10))</f>
        <v>0</v>
      </c>
      <c r="F11" s="43">
        <f t="shared" si="3"/>
        <v>0</v>
      </c>
      <c r="G11" s="43">
        <f t="shared" si="3"/>
        <v>0</v>
      </c>
      <c r="H11" s="43">
        <f t="shared" si="3"/>
        <v>0</v>
      </c>
      <c r="I11" s="43">
        <f t="shared" si="3"/>
        <v>0</v>
      </c>
      <c r="J11" s="43">
        <f t="shared" si="3"/>
        <v>0</v>
      </c>
      <c r="K11" s="43">
        <f t="shared" si="3"/>
        <v>0</v>
      </c>
      <c r="L11" s="43">
        <f t="shared" si="3"/>
        <v>0</v>
      </c>
      <c r="M11" s="43">
        <f t="shared" si="0"/>
        <v>0</v>
      </c>
      <c r="N11" s="43">
        <f t="shared" ref="N11:V11" si="4">MAX(0,2+N$7+(N$8&lt;=$C10)+(N$8&lt;=MAX($C10-18,0))+(N$8&lt;=MAX($C10-36,0))-N10)*NOT(ISBLANK($C10))</f>
        <v>0</v>
      </c>
      <c r="O11" s="43">
        <f t="shared" si="4"/>
        <v>0</v>
      </c>
      <c r="P11" s="43">
        <f t="shared" si="4"/>
        <v>0</v>
      </c>
      <c r="Q11" s="43">
        <f t="shared" si="4"/>
        <v>0</v>
      </c>
      <c r="R11" s="43">
        <f t="shared" si="4"/>
        <v>0</v>
      </c>
      <c r="S11" s="43">
        <f t="shared" si="4"/>
        <v>0</v>
      </c>
      <c r="T11" s="43">
        <f t="shared" si="4"/>
        <v>0</v>
      </c>
      <c r="U11" s="43">
        <f t="shared" si="4"/>
        <v>0</v>
      </c>
      <c r="V11" s="43">
        <f t="shared" si="4"/>
        <v>0</v>
      </c>
      <c r="W11" s="43">
        <f t="shared" si="1"/>
        <v>0</v>
      </c>
      <c r="X11" s="43">
        <f t="shared" si="2"/>
        <v>0</v>
      </c>
      <c r="Y11" s="80"/>
      <c r="Z11" s="105" cm="1">
        <f t="array" ref="Z11">_xlfn.IFS(
    AND(Z10 &gt;= 50, Z10 &lt;= 70), 70,
    AND(Z10 &gt;= 70, Z10 &lt;= 75), 50,
    AND(Z10 &gt;= 75, Z10 &lt;= 80), 40,
    AND(Z10 &gt;= 81, Z10 &lt;= 85), 35,
    AND(Z10 &gt;= 85, Z10 &lt;= 90), 30,
    AND(Z10 &gt;= 90, Z10 &lt;= 110), 25,
 AND(Z10 &gt;= 110),0
)</f>
        <v>0</v>
      </c>
      <c r="AA11" s="106">
        <f>SUMIF(D11:L11, "&gt;2")+SUMIF(N11:V11, "&gt;2")</f>
        <v>0</v>
      </c>
      <c r="AB11" s="128">
        <v>0</v>
      </c>
      <c r="AC11" s="128">
        <v>0</v>
      </c>
      <c r="AD11" s="128">
        <v>0</v>
      </c>
      <c r="AE11" s="107">
        <f>SUM(Z11:AD11)</f>
        <v>0</v>
      </c>
      <c r="AF11" s="116"/>
      <c r="AG11" s="11" t="s">
        <v>40</v>
      </c>
      <c r="AH11" s="12">
        <v>35</v>
      </c>
      <c r="AJ11" s="35"/>
      <c r="AK11" s="118"/>
    </row>
    <row r="12" spans="2:37" ht="15.6" thickTop="1" thickBot="1">
      <c r="B12" s="45" t="s">
        <v>14</v>
      </c>
      <c r="C12" s="55">
        <v>20</v>
      </c>
      <c r="D12" s="234">
        <v>10</v>
      </c>
      <c r="E12" s="234">
        <v>10</v>
      </c>
      <c r="F12" s="234">
        <v>10</v>
      </c>
      <c r="G12" s="234">
        <v>10</v>
      </c>
      <c r="H12" s="234">
        <v>10</v>
      </c>
      <c r="I12" s="234">
        <v>10</v>
      </c>
      <c r="J12" s="234">
        <v>10</v>
      </c>
      <c r="K12" s="234">
        <v>10</v>
      </c>
      <c r="L12" s="234">
        <v>10</v>
      </c>
      <c r="M12" s="46">
        <f t="shared" si="0"/>
        <v>90</v>
      </c>
      <c r="N12" s="234">
        <v>10</v>
      </c>
      <c r="O12" s="234">
        <v>10</v>
      </c>
      <c r="P12" s="234">
        <v>10</v>
      </c>
      <c r="Q12" s="234">
        <v>10</v>
      </c>
      <c r="R12" s="234">
        <v>10</v>
      </c>
      <c r="S12" s="234">
        <v>10</v>
      </c>
      <c r="T12" s="234">
        <v>10</v>
      </c>
      <c r="U12" s="234">
        <v>10</v>
      </c>
      <c r="V12" s="234">
        <v>10</v>
      </c>
      <c r="W12" s="46">
        <f t="shared" si="1"/>
        <v>90</v>
      </c>
      <c r="X12" s="126">
        <f t="shared" si="2"/>
        <v>180</v>
      </c>
      <c r="Y12" s="81">
        <f>X13</f>
        <v>0</v>
      </c>
      <c r="Z12" s="102">
        <f>X12-C12</f>
        <v>160</v>
      </c>
      <c r="AA12" s="103"/>
      <c r="AB12" s="103"/>
      <c r="AC12" s="103"/>
      <c r="AD12" s="103"/>
      <c r="AE12" s="104"/>
      <c r="AF12" s="116">
        <v>0</v>
      </c>
      <c r="AG12" s="11" t="s">
        <v>42</v>
      </c>
      <c r="AH12" s="12">
        <v>30</v>
      </c>
      <c r="AJ12" s="36"/>
      <c r="AK12" s="123"/>
    </row>
    <row r="13" spans="2:37" ht="15.6" thickTop="1" thickBot="1">
      <c r="B13" s="47" t="s">
        <v>91</v>
      </c>
      <c r="C13" s="55"/>
      <c r="D13" s="46">
        <f>MAX(0,2+D$7+(D$8&lt;=$C12)+(D$8&lt;=MAX($C12-18,0))+(D$8&lt;=MAX($C12-36,0))-D12)*NOT(ISBLANK($C12))</f>
        <v>0</v>
      </c>
      <c r="E13" s="46">
        <f t="shared" ref="E13:L13" si="5">MAX(0,2+E$7+(E$8&lt;=$C12)+(E$8&lt;=MAX($C12-18,0))+(E$8&lt;=MAX($C12-36,0))-E12)*NOT(ISBLANK($C12))</f>
        <v>0</v>
      </c>
      <c r="F13" s="46">
        <f t="shared" si="5"/>
        <v>0</v>
      </c>
      <c r="G13" s="46">
        <f t="shared" si="5"/>
        <v>0</v>
      </c>
      <c r="H13" s="46">
        <f t="shared" si="5"/>
        <v>0</v>
      </c>
      <c r="I13" s="46">
        <f t="shared" si="5"/>
        <v>0</v>
      </c>
      <c r="J13" s="46">
        <f t="shared" si="5"/>
        <v>0</v>
      </c>
      <c r="K13" s="46">
        <f t="shared" si="5"/>
        <v>0</v>
      </c>
      <c r="L13" s="46">
        <f t="shared" si="5"/>
        <v>0</v>
      </c>
      <c r="M13" s="46">
        <f t="shared" si="0"/>
        <v>0</v>
      </c>
      <c r="N13" s="46">
        <f t="shared" ref="N13:V13" si="6">MAX(0,2+N$7+(N$8&lt;=$C12)+(N$8&lt;=MAX($C12-18,0))+(N$8&lt;=MAX($C12-36,0))-N12)*NOT(ISBLANK($C12))</f>
        <v>0</v>
      </c>
      <c r="O13" s="46">
        <f t="shared" si="6"/>
        <v>0</v>
      </c>
      <c r="P13" s="46">
        <f t="shared" si="6"/>
        <v>0</v>
      </c>
      <c r="Q13" s="46">
        <f t="shared" si="6"/>
        <v>0</v>
      </c>
      <c r="R13" s="46">
        <f t="shared" si="6"/>
        <v>0</v>
      </c>
      <c r="S13" s="46">
        <f t="shared" si="6"/>
        <v>0</v>
      </c>
      <c r="T13" s="46">
        <f t="shared" si="6"/>
        <v>0</v>
      </c>
      <c r="U13" s="46">
        <f t="shared" si="6"/>
        <v>0</v>
      </c>
      <c r="V13" s="46">
        <f t="shared" si="6"/>
        <v>0</v>
      </c>
      <c r="W13" s="46">
        <f t="shared" si="1"/>
        <v>0</v>
      </c>
      <c r="X13" s="46">
        <f t="shared" si="2"/>
        <v>0</v>
      </c>
      <c r="Y13" s="81"/>
      <c r="Z13" s="99" cm="1">
        <f t="array" ref="Z13">_xlfn.IFS(
    AND(Z12 &gt;= 50, Z12 &lt;= 70), 70,
    AND(Z12 &gt;= 70, Z12 &lt;= 75), 50,
    AND(Z12 &gt;= 75, Z12 &lt;= 80), 40,
    AND(Z12 &gt;= 81, Z12 &lt;= 85), 35,
    AND(Z12 &gt;= 85, Z12 &lt;= 90), 30,
    AND(Z12 &gt;= 90, Z12 &lt;= 110), 25,
 AND(Z12 &gt;= 110),0
)</f>
        <v>0</v>
      </c>
      <c r="AA13" s="100">
        <f>SUMIF(D13:L13, "&gt;2")+SUMIF(N13:V13, "&gt;2")</f>
        <v>0</v>
      </c>
      <c r="AB13" s="128">
        <v>0</v>
      </c>
      <c r="AC13" s="128">
        <v>0</v>
      </c>
      <c r="AD13" s="128">
        <v>0</v>
      </c>
      <c r="AE13" s="101">
        <f>SUM(Z13:AD13)</f>
        <v>0</v>
      </c>
      <c r="AF13" s="116"/>
      <c r="AG13" s="13" t="s">
        <v>44</v>
      </c>
      <c r="AH13" s="14">
        <v>25</v>
      </c>
      <c r="AJ13" s="36"/>
      <c r="AK13" s="119"/>
    </row>
    <row r="14" spans="2:37" ht="15.6" thickTop="1" thickBot="1">
      <c r="B14" s="48" t="s">
        <v>12</v>
      </c>
      <c r="C14" s="56">
        <v>25</v>
      </c>
      <c r="D14" s="235">
        <v>10</v>
      </c>
      <c r="E14" s="235">
        <v>10</v>
      </c>
      <c r="F14" s="235">
        <v>10</v>
      </c>
      <c r="G14" s="235">
        <v>10</v>
      </c>
      <c r="H14" s="235">
        <v>10</v>
      </c>
      <c r="I14" s="235">
        <v>10</v>
      </c>
      <c r="J14" s="235">
        <v>10</v>
      </c>
      <c r="K14" s="235">
        <v>10</v>
      </c>
      <c r="L14" s="235">
        <v>10</v>
      </c>
      <c r="M14" s="49">
        <f t="shared" si="0"/>
        <v>90</v>
      </c>
      <c r="N14" s="235">
        <v>10</v>
      </c>
      <c r="O14" s="235">
        <v>10</v>
      </c>
      <c r="P14" s="235">
        <v>10</v>
      </c>
      <c r="Q14" s="235">
        <v>10</v>
      </c>
      <c r="R14" s="235">
        <v>10</v>
      </c>
      <c r="S14" s="235">
        <v>10</v>
      </c>
      <c r="T14" s="235">
        <v>10</v>
      </c>
      <c r="U14" s="235">
        <v>10</v>
      </c>
      <c r="V14" s="235">
        <v>10</v>
      </c>
      <c r="W14" s="49">
        <f t="shared" si="1"/>
        <v>90</v>
      </c>
      <c r="X14" s="125">
        <f t="shared" si="2"/>
        <v>180</v>
      </c>
      <c r="Y14" s="82">
        <f>X15</f>
        <v>0</v>
      </c>
      <c r="Z14" s="96">
        <f>X14-C14</f>
        <v>155</v>
      </c>
      <c r="AA14" s="97"/>
      <c r="AB14" s="97"/>
      <c r="AC14" s="97"/>
      <c r="AD14" s="97"/>
      <c r="AE14" s="98"/>
      <c r="AF14" s="116">
        <v>0</v>
      </c>
      <c r="AG14" s="15" t="s">
        <v>46</v>
      </c>
      <c r="AH14" s="16" t="s">
        <v>47</v>
      </c>
      <c r="AJ14" s="37"/>
      <c r="AK14" s="123"/>
    </row>
    <row r="15" spans="2:37" ht="15.6" thickTop="1" thickBot="1">
      <c r="B15" s="50" t="s">
        <v>91</v>
      </c>
      <c r="C15" s="56"/>
      <c r="D15" s="49">
        <f>MAX(0,2+D$7+(D$8&lt;=$C14)+(D$8&lt;=MAX($C14-18,0))+(D$8&lt;=MAX($C14-36,0))-D14)*NOT(ISBLANK($C14))</f>
        <v>0</v>
      </c>
      <c r="E15" s="49">
        <f t="shared" ref="E15:L15" si="7">MAX(0,2+E$7+(E$8&lt;=$C14)+(E$8&lt;=MAX($C14-18,0))+(E$8&lt;=MAX($C14-36,0))-E14)*NOT(ISBLANK($C14))</f>
        <v>0</v>
      </c>
      <c r="F15" s="49">
        <f t="shared" si="7"/>
        <v>0</v>
      </c>
      <c r="G15" s="49">
        <f t="shared" si="7"/>
        <v>0</v>
      </c>
      <c r="H15" s="49">
        <f t="shared" si="7"/>
        <v>0</v>
      </c>
      <c r="I15" s="49">
        <f t="shared" si="7"/>
        <v>0</v>
      </c>
      <c r="J15" s="49">
        <f t="shared" si="7"/>
        <v>0</v>
      </c>
      <c r="K15" s="49">
        <f t="shared" si="7"/>
        <v>0</v>
      </c>
      <c r="L15" s="49">
        <f t="shared" si="7"/>
        <v>0</v>
      </c>
      <c r="M15" s="49">
        <f t="shared" si="0"/>
        <v>0</v>
      </c>
      <c r="N15" s="49">
        <f t="shared" ref="N15:V15" si="8">MAX(0,2+N$7+(N$8&lt;=$C14)+(N$8&lt;=MAX($C14-18,0))+(N$8&lt;=MAX($C14-36,0))-N14)*NOT(ISBLANK($C14))</f>
        <v>0</v>
      </c>
      <c r="O15" s="49">
        <f t="shared" si="8"/>
        <v>0</v>
      </c>
      <c r="P15" s="49">
        <f t="shared" si="8"/>
        <v>0</v>
      </c>
      <c r="Q15" s="49">
        <f t="shared" si="8"/>
        <v>0</v>
      </c>
      <c r="R15" s="49">
        <f t="shared" si="8"/>
        <v>0</v>
      </c>
      <c r="S15" s="49">
        <f t="shared" si="8"/>
        <v>0</v>
      </c>
      <c r="T15" s="49">
        <f t="shared" si="8"/>
        <v>0</v>
      </c>
      <c r="U15" s="49">
        <f t="shared" si="8"/>
        <v>0</v>
      </c>
      <c r="V15" s="49">
        <f t="shared" si="8"/>
        <v>0</v>
      </c>
      <c r="W15" s="49">
        <f t="shared" si="1"/>
        <v>0</v>
      </c>
      <c r="X15" s="49">
        <f t="shared" si="2"/>
        <v>0</v>
      </c>
      <c r="Y15" s="82"/>
      <c r="Z15" s="93" cm="1">
        <f t="array" ref="Z15">_xlfn.IFS(
    AND(Z14 &gt;= 50, Z14 &lt;= 70), 70,
    AND(Z14 &gt;= 70, Z14 &lt;= 75), 50,
    AND(Z14 &gt;= 75, Z14 &lt;= 80), 40,
    AND(Z14 &gt;= 81, Z14 &lt;= 85), 35,
    AND(Z14 &gt;= 85, Z14 &lt;= 90), 30,
    AND(Z14 &gt;= 90, Z14 &lt;= 110), 25,
 AND(Z14 &gt;= 110),0
)</f>
        <v>0</v>
      </c>
      <c r="AA15" s="94">
        <f>SUMIF(D15:L15, "&gt;2")+SUMIF(N15:V15, "&gt;2")</f>
        <v>0</v>
      </c>
      <c r="AB15" s="128">
        <v>0</v>
      </c>
      <c r="AC15" s="128">
        <v>0</v>
      </c>
      <c r="AD15" s="128">
        <v>0</v>
      </c>
      <c r="AE15" s="95">
        <f>SUM(Z15:AD15)</f>
        <v>0</v>
      </c>
      <c r="AF15" s="116"/>
      <c r="AG15" s="9" t="s">
        <v>49</v>
      </c>
      <c r="AH15" s="10">
        <v>5</v>
      </c>
      <c r="AJ15" s="37"/>
      <c r="AK15" s="120"/>
    </row>
    <row r="16" spans="2:37" ht="15.6" thickTop="1" thickBot="1">
      <c r="B16" s="51" t="s">
        <v>11</v>
      </c>
      <c r="C16" s="57">
        <v>18</v>
      </c>
      <c r="D16" s="236">
        <v>10</v>
      </c>
      <c r="E16" s="236">
        <v>10</v>
      </c>
      <c r="F16" s="236">
        <v>10</v>
      </c>
      <c r="G16" s="236">
        <v>10</v>
      </c>
      <c r="H16" s="236">
        <v>10</v>
      </c>
      <c r="I16" s="236">
        <v>10</v>
      </c>
      <c r="J16" s="236">
        <v>10</v>
      </c>
      <c r="K16" s="236">
        <v>10</v>
      </c>
      <c r="L16" s="236">
        <v>10</v>
      </c>
      <c r="M16" s="52">
        <f t="shared" si="0"/>
        <v>90</v>
      </c>
      <c r="N16" s="236">
        <v>10</v>
      </c>
      <c r="O16" s="236">
        <v>10</v>
      </c>
      <c r="P16" s="236">
        <v>10</v>
      </c>
      <c r="Q16" s="236">
        <v>10</v>
      </c>
      <c r="R16" s="236">
        <v>10</v>
      </c>
      <c r="S16" s="236">
        <v>10</v>
      </c>
      <c r="T16" s="236">
        <v>10</v>
      </c>
      <c r="U16" s="236">
        <v>10</v>
      </c>
      <c r="V16" s="236">
        <v>10</v>
      </c>
      <c r="W16" s="52">
        <f t="shared" si="1"/>
        <v>90</v>
      </c>
      <c r="X16" s="124">
        <f t="shared" si="2"/>
        <v>180</v>
      </c>
      <c r="Y16" s="83">
        <f t="shared" ref="Y16" si="9">X17</f>
        <v>0</v>
      </c>
      <c r="Z16" s="90">
        <f>X16-C16</f>
        <v>162</v>
      </c>
      <c r="AA16" s="91"/>
      <c r="AB16" s="91"/>
      <c r="AC16" s="91"/>
      <c r="AD16" s="91"/>
      <c r="AE16" s="92"/>
      <c r="AF16" s="116">
        <v>0</v>
      </c>
      <c r="AG16" s="11" t="s">
        <v>51</v>
      </c>
      <c r="AH16" s="12">
        <v>5</v>
      </c>
    </row>
    <row r="17" spans="2:34" ht="15.6" thickTop="1" thickBot="1">
      <c r="B17" s="53" t="s">
        <v>91</v>
      </c>
      <c r="C17" s="57"/>
      <c r="D17" s="52">
        <f t="shared" ref="D17:L17" si="10">MAX(0,2+D$7+(D$8&lt;=$C16)+(D$8&lt;=MAX($C16-18,0))+(D$8&lt;=MAX($C16-36,0))-D16)*NOT(ISBLANK($C16))</f>
        <v>0</v>
      </c>
      <c r="E17" s="52">
        <f t="shared" si="10"/>
        <v>0</v>
      </c>
      <c r="F17" s="52">
        <f t="shared" si="10"/>
        <v>0</v>
      </c>
      <c r="G17" s="52">
        <f t="shared" si="10"/>
        <v>0</v>
      </c>
      <c r="H17" s="52">
        <f t="shared" si="10"/>
        <v>0</v>
      </c>
      <c r="I17" s="52">
        <f t="shared" si="10"/>
        <v>0</v>
      </c>
      <c r="J17" s="52">
        <f t="shared" si="10"/>
        <v>0</v>
      </c>
      <c r="K17" s="52">
        <f t="shared" si="10"/>
        <v>0</v>
      </c>
      <c r="L17" s="52">
        <f t="shared" si="10"/>
        <v>0</v>
      </c>
      <c r="M17" s="52">
        <f t="shared" si="0"/>
        <v>0</v>
      </c>
      <c r="N17" s="52">
        <f t="shared" ref="N17:V17" si="11">MAX(0,2+N$7+(N$8&lt;=$C16)+(N$8&lt;=MAX($C16-18,0))+(N$8&lt;=MAX($C16-36,0))-N16)*NOT(ISBLANK($C16))</f>
        <v>0</v>
      </c>
      <c r="O17" s="52">
        <f t="shared" si="11"/>
        <v>0</v>
      </c>
      <c r="P17" s="52">
        <f t="shared" si="11"/>
        <v>0</v>
      </c>
      <c r="Q17" s="52">
        <f t="shared" si="11"/>
        <v>0</v>
      </c>
      <c r="R17" s="52">
        <f t="shared" si="11"/>
        <v>0</v>
      </c>
      <c r="S17" s="52">
        <f t="shared" si="11"/>
        <v>0</v>
      </c>
      <c r="T17" s="52">
        <f t="shared" si="11"/>
        <v>0</v>
      </c>
      <c r="U17" s="52">
        <f t="shared" si="11"/>
        <v>0</v>
      </c>
      <c r="V17" s="52">
        <f t="shared" si="11"/>
        <v>0</v>
      </c>
      <c r="W17" s="52">
        <f t="shared" si="1"/>
        <v>0</v>
      </c>
      <c r="X17" s="52">
        <f t="shared" si="2"/>
        <v>0</v>
      </c>
      <c r="Y17" s="83"/>
      <c r="Z17" s="87" cm="1">
        <f t="array" ref="Z17">_xlfn.IFS(
    AND(Z16 &gt;= 50, Z16 &lt;= 70), 70,
    AND(Z16 &gt;= 70, Z16 &lt;= 75), 50,
    AND(Z16 &gt;= 75, Z16 &lt;= 80), 40,
    AND(Z16 &gt;= 81, Z16 &lt;= 85), 35,
    AND(Z16 &gt;= 85, Z16 &lt;= 90), 30,
    AND(Z16 &gt;= 90, Z16 &lt;= 110), 25,
 AND(Z16 &gt;= 110),0
)</f>
        <v>0</v>
      </c>
      <c r="AA17" s="88">
        <f>SUMIF(D17:L17, "&gt;2")+SUMIF(N17:V17, "&gt;2")</f>
        <v>0</v>
      </c>
      <c r="AB17" s="128">
        <v>0</v>
      </c>
      <c r="AC17" s="128">
        <v>0</v>
      </c>
      <c r="AD17" s="128">
        <v>0</v>
      </c>
      <c r="AE17" s="89">
        <f>SUM(Z17:AD17)</f>
        <v>0</v>
      </c>
      <c r="AF17" s="116"/>
      <c r="AG17" s="17" t="s">
        <v>4</v>
      </c>
      <c r="AH17" s="18">
        <v>10</v>
      </c>
    </row>
    <row r="18" spans="2:34" ht="15" thickTop="1"/>
    <row r="20" spans="2:34" ht="15" thickBot="1">
      <c r="C20" s="2"/>
      <c r="O20" s="8"/>
    </row>
    <row r="21" spans="2:34" ht="15.6" thickTop="1" thickBot="1">
      <c r="B21" s="78" t="s">
        <v>92</v>
      </c>
      <c r="C21" s="46">
        <v>73</v>
      </c>
      <c r="O21" s="8"/>
    </row>
    <row r="22" spans="2:34" ht="15.6" thickTop="1" thickBot="1">
      <c r="B22" s="78" t="s">
        <v>93</v>
      </c>
      <c r="C22" s="46">
        <v>135</v>
      </c>
      <c r="O22" s="8"/>
    </row>
    <row r="23" spans="2:34" ht="15.6" thickTop="1" thickBot="1">
      <c r="B23" s="78" t="s">
        <v>88</v>
      </c>
      <c r="C23" s="46">
        <v>72</v>
      </c>
      <c r="O23" s="8"/>
    </row>
    <row r="24" spans="2:34" ht="15" thickTop="1">
      <c r="O24" s="8"/>
    </row>
    <row r="25" spans="2:34">
      <c r="O25" s="8"/>
    </row>
    <row r="26" spans="2:34">
      <c r="O26" s="8"/>
    </row>
    <row r="27" spans="2:34">
      <c r="O27" s="8"/>
    </row>
    <row r="28" spans="2:34">
      <c r="O28" s="8"/>
    </row>
  </sheetData>
  <mergeCells count="2">
    <mergeCell ref="C4:AE4"/>
    <mergeCell ref="C5:AE5"/>
  </mergeCells>
  <conditionalFormatting sqref="D11:V11">
    <cfRule type="cellIs" dxfId="3" priority="2" operator="between">
      <formula>3</formula>
      <formula>5</formula>
    </cfRule>
  </conditionalFormatting>
  <conditionalFormatting sqref="D13:V13 D15:V15 D17:V17">
    <cfRule type="cellIs" dxfId="2" priority="1" operator="between">
      <formula>3</formula>
      <formula>5</formula>
    </cfRule>
  </conditionalFormatting>
  <pageMargins left="0.7" right="0.7" top="0.75" bottom="0.75" header="0.3" footer="0.3"/>
  <headerFooter>
    <oddFooter>&amp;C_x000D_&amp;1#&amp;"Calibri"&amp;10&amp;K000000 OFFICIAL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D777-8754-42BD-A9FB-232E2C1ADB37}">
  <dimension ref="B3:AK28"/>
  <sheetViews>
    <sheetView showGridLines="0" tabSelected="1" zoomScale="99" workbookViewId="0">
      <selection activeCell="AH48" sqref="AH48"/>
    </sheetView>
  </sheetViews>
  <sheetFormatPr defaultColWidth="8.85546875" defaultRowHeight="14.45"/>
  <cols>
    <col min="1" max="1" width="8.85546875" style="5"/>
    <col min="2" max="2" width="13.42578125" style="1" customWidth="1"/>
    <col min="3" max="3" width="7.140625" style="1" customWidth="1"/>
    <col min="4" max="5" width="5.42578125" style="4" customWidth="1"/>
    <col min="6" max="6" width="5.7109375" style="4" customWidth="1"/>
    <col min="7" max="7" width="5.85546875" style="4" customWidth="1"/>
    <col min="8" max="8" width="5.42578125" style="4" customWidth="1"/>
    <col min="9" max="9" width="6" style="4" customWidth="1"/>
    <col min="10" max="10" width="5.7109375" style="4" customWidth="1"/>
    <col min="11" max="11" width="6" style="4" customWidth="1"/>
    <col min="12" max="12" width="5.42578125" style="4" customWidth="1"/>
    <col min="13" max="13" width="6.85546875" style="3" customWidth="1"/>
    <col min="14" max="14" width="6" style="4" customWidth="1"/>
    <col min="15" max="15" width="5.85546875" style="4" customWidth="1"/>
    <col min="16" max="16" width="6.140625" style="4" customWidth="1"/>
    <col min="17" max="19" width="5.42578125" style="4" customWidth="1"/>
    <col min="20" max="20" width="5.28515625" style="4" customWidth="1"/>
    <col min="21" max="21" width="5.140625" style="4" customWidth="1"/>
    <col min="22" max="22" width="5.42578125" style="4" customWidth="1"/>
    <col min="23" max="23" width="7.28515625" style="3" customWidth="1"/>
    <col min="24" max="24" width="5.7109375" style="3" customWidth="1"/>
    <col min="25" max="25" width="6.5703125" style="3" customWidth="1"/>
    <col min="26" max="32" width="8.85546875" style="5"/>
    <col min="33" max="33" width="9.7109375" style="5" bestFit="1" customWidth="1"/>
    <col min="34" max="34" width="11.42578125" style="5" bestFit="1" customWidth="1"/>
    <col min="35" max="35" width="8.85546875" style="5"/>
    <col min="36" max="36" width="7.28515625" style="5" customWidth="1"/>
    <col min="37" max="37" width="13.85546875" style="5" bestFit="1" customWidth="1"/>
    <col min="38" max="16384" width="8.85546875" style="5"/>
  </cols>
  <sheetData>
    <row r="3" spans="2:37" ht="15" thickBot="1"/>
    <row r="4" spans="2:37" ht="15.6" thickTop="1" thickBot="1">
      <c r="C4" s="268" t="s">
        <v>82</v>
      </c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69"/>
    </row>
    <row r="5" spans="2:37" ht="15.6" thickTop="1" thickBot="1">
      <c r="C5" s="268" t="s">
        <v>83</v>
      </c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70"/>
      <c r="AA5" s="270"/>
      <c r="AB5" s="270"/>
      <c r="AC5" s="270"/>
      <c r="AD5" s="270"/>
      <c r="AE5" s="270"/>
    </row>
    <row r="6" spans="2:37" s="1" customFormat="1" ht="15.6" thickTop="1" thickBot="1">
      <c r="C6" s="38" t="s">
        <v>84</v>
      </c>
      <c r="D6" s="39">
        <v>1</v>
      </c>
      <c r="E6" s="39">
        <v>2</v>
      </c>
      <c r="F6" s="39">
        <v>3</v>
      </c>
      <c r="G6" s="39">
        <v>4</v>
      </c>
      <c r="H6" s="39">
        <v>5</v>
      </c>
      <c r="I6" s="39">
        <v>6</v>
      </c>
      <c r="J6" s="39">
        <v>7</v>
      </c>
      <c r="K6" s="39">
        <v>8</v>
      </c>
      <c r="L6" s="39">
        <v>9</v>
      </c>
      <c r="M6" s="39" t="s">
        <v>85</v>
      </c>
      <c r="N6" s="39">
        <v>10</v>
      </c>
      <c r="O6" s="39">
        <v>11</v>
      </c>
      <c r="P6" s="39">
        <v>12</v>
      </c>
      <c r="Q6" s="39">
        <v>13</v>
      </c>
      <c r="R6" s="39">
        <v>14</v>
      </c>
      <c r="S6" s="39">
        <v>15</v>
      </c>
      <c r="T6" s="39">
        <v>16</v>
      </c>
      <c r="U6" s="39">
        <v>17</v>
      </c>
      <c r="V6" s="39">
        <v>18</v>
      </c>
      <c r="W6" s="39" t="s">
        <v>86</v>
      </c>
      <c r="X6" s="39" t="s">
        <v>7</v>
      </c>
      <c r="Y6" s="78" t="s">
        <v>87</v>
      </c>
      <c r="Z6" s="84" t="s">
        <v>2</v>
      </c>
      <c r="AA6" s="85" t="s">
        <v>3</v>
      </c>
      <c r="AB6" s="85" t="s">
        <v>4</v>
      </c>
      <c r="AC6" s="85" t="s">
        <v>5</v>
      </c>
      <c r="AD6" s="85" t="s">
        <v>6</v>
      </c>
      <c r="AE6" s="86" t="s">
        <v>7</v>
      </c>
      <c r="AF6" s="86" t="s">
        <v>9</v>
      </c>
    </row>
    <row r="7" spans="2:37" s="1" customFormat="1" ht="15.6" thickTop="1" thickBot="1">
      <c r="C7" s="38" t="s">
        <v>88</v>
      </c>
      <c r="D7" s="39">
        <v>4</v>
      </c>
      <c r="E7" s="39">
        <v>5</v>
      </c>
      <c r="F7" s="39">
        <v>4</v>
      </c>
      <c r="G7" s="39">
        <v>3</v>
      </c>
      <c r="H7" s="39">
        <v>4</v>
      </c>
      <c r="I7" s="39">
        <v>4</v>
      </c>
      <c r="J7" s="39">
        <v>3</v>
      </c>
      <c r="K7" s="39">
        <v>5</v>
      </c>
      <c r="L7" s="39">
        <v>4</v>
      </c>
      <c r="M7" s="39">
        <f>SUM(D7:L7)</f>
        <v>36</v>
      </c>
      <c r="N7" s="39">
        <v>5</v>
      </c>
      <c r="O7" s="39">
        <v>4</v>
      </c>
      <c r="P7" s="39">
        <v>3</v>
      </c>
      <c r="Q7" s="39">
        <v>4</v>
      </c>
      <c r="R7" s="39">
        <v>4</v>
      </c>
      <c r="S7" s="39">
        <v>3</v>
      </c>
      <c r="T7" s="39">
        <v>4</v>
      </c>
      <c r="U7" s="39">
        <v>4</v>
      </c>
      <c r="V7" s="39">
        <v>5</v>
      </c>
      <c r="W7" s="39">
        <f>SUM(N7:V7)</f>
        <v>36</v>
      </c>
      <c r="X7" s="39">
        <f>M7+W7</f>
        <v>72</v>
      </c>
      <c r="Y7" s="78"/>
      <c r="Z7" s="111"/>
      <c r="AA7" s="112" t="s">
        <v>18</v>
      </c>
      <c r="AB7" s="112" t="s">
        <v>18</v>
      </c>
      <c r="AC7" s="112" t="s">
        <v>18</v>
      </c>
      <c r="AD7" s="112" t="s">
        <v>18</v>
      </c>
      <c r="AE7" s="113" t="s">
        <v>18</v>
      </c>
      <c r="AF7" s="86"/>
      <c r="AG7" s="6" t="s">
        <v>17</v>
      </c>
      <c r="AH7" s="7" t="s">
        <v>18</v>
      </c>
      <c r="AJ7" s="121"/>
      <c r="AK7" s="121"/>
    </row>
    <row r="8" spans="2:37" s="1" customFormat="1" ht="15.6" thickTop="1" thickBot="1">
      <c r="C8" s="38" t="s">
        <v>89</v>
      </c>
      <c r="D8" s="39">
        <v>5</v>
      </c>
      <c r="E8" s="39">
        <v>9</v>
      </c>
      <c r="F8" s="39">
        <v>3</v>
      </c>
      <c r="G8" s="39">
        <v>14</v>
      </c>
      <c r="H8" s="39">
        <v>11</v>
      </c>
      <c r="I8" s="39">
        <v>15</v>
      </c>
      <c r="J8" s="39">
        <v>18</v>
      </c>
      <c r="K8" s="39">
        <v>13</v>
      </c>
      <c r="L8" s="39">
        <v>1</v>
      </c>
      <c r="M8" s="39"/>
      <c r="N8" s="39">
        <v>12</v>
      </c>
      <c r="O8" s="39">
        <v>10</v>
      </c>
      <c r="P8" s="39">
        <v>16</v>
      </c>
      <c r="Q8" s="39">
        <v>8</v>
      </c>
      <c r="R8" s="39">
        <v>2</v>
      </c>
      <c r="S8" s="39">
        <v>17</v>
      </c>
      <c r="T8" s="39">
        <v>6</v>
      </c>
      <c r="U8" s="39">
        <v>7</v>
      </c>
      <c r="V8" s="39">
        <v>4</v>
      </c>
      <c r="W8" s="39"/>
      <c r="X8" s="39"/>
      <c r="Y8" s="78"/>
      <c r="Z8" s="114"/>
      <c r="AA8" s="115"/>
      <c r="AB8" s="115"/>
      <c r="AC8" s="115"/>
      <c r="AD8" s="115"/>
      <c r="AE8" s="116"/>
      <c r="AF8" s="116"/>
      <c r="AG8" s="9" t="s">
        <v>27</v>
      </c>
      <c r="AH8" s="10">
        <v>70</v>
      </c>
      <c r="AJ8" s="122"/>
      <c r="AK8" s="123"/>
    </row>
    <row r="9" spans="2:37" ht="15.6" thickTop="1" thickBot="1">
      <c r="C9" s="40" t="s">
        <v>90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79"/>
      <c r="Z9" s="111"/>
      <c r="AA9" s="112"/>
      <c r="AB9" s="112"/>
      <c r="AC9" s="112"/>
      <c r="AD9" s="112"/>
      <c r="AE9" s="113"/>
      <c r="AF9" s="116"/>
      <c r="AG9" s="11" t="s">
        <v>32</v>
      </c>
      <c r="AH9" s="12">
        <v>50</v>
      </c>
      <c r="AJ9" s="122"/>
      <c r="AK9" s="117"/>
    </row>
    <row r="10" spans="2:37" ht="15.6" thickTop="1" thickBot="1">
      <c r="B10" s="42" t="s">
        <v>13</v>
      </c>
      <c r="C10" s="54">
        <v>15</v>
      </c>
      <c r="D10" s="43">
        <v>10</v>
      </c>
      <c r="E10" s="43">
        <v>10</v>
      </c>
      <c r="F10" s="43">
        <v>10</v>
      </c>
      <c r="G10" s="43">
        <v>10</v>
      </c>
      <c r="H10" s="43">
        <v>10</v>
      </c>
      <c r="I10" s="43">
        <v>10</v>
      </c>
      <c r="J10" s="43">
        <v>10</v>
      </c>
      <c r="K10" s="43">
        <v>10</v>
      </c>
      <c r="L10" s="43">
        <v>10</v>
      </c>
      <c r="M10" s="43">
        <f t="shared" ref="M10:M17" si="0">SUM(D10:L10)</f>
        <v>90</v>
      </c>
      <c r="N10" s="43">
        <v>10</v>
      </c>
      <c r="O10" s="43">
        <v>10</v>
      </c>
      <c r="P10" s="43">
        <v>10</v>
      </c>
      <c r="Q10" s="43">
        <v>10</v>
      </c>
      <c r="R10" s="43">
        <v>10</v>
      </c>
      <c r="S10" s="43">
        <v>10</v>
      </c>
      <c r="T10" s="43">
        <v>10</v>
      </c>
      <c r="U10" s="43">
        <v>10</v>
      </c>
      <c r="V10" s="43">
        <v>10</v>
      </c>
      <c r="W10" s="43">
        <f t="shared" ref="W10:W17" si="1">SUM(N10:V10)</f>
        <v>90</v>
      </c>
      <c r="X10" s="127">
        <f t="shared" ref="X10:X17" si="2">+M10+W10</f>
        <v>180</v>
      </c>
      <c r="Y10" s="80">
        <f>X11</f>
        <v>0</v>
      </c>
      <c r="Z10" s="108">
        <f>X10-C10</f>
        <v>165</v>
      </c>
      <c r="AA10" s="109"/>
      <c r="AB10" s="109"/>
      <c r="AC10" s="109"/>
      <c r="AD10" s="109"/>
      <c r="AE10" s="110"/>
      <c r="AF10" s="116">
        <v>0</v>
      </c>
      <c r="AG10" s="11" t="s">
        <v>37</v>
      </c>
      <c r="AH10" s="12">
        <v>40</v>
      </c>
      <c r="AJ10" s="35"/>
      <c r="AK10" s="123"/>
    </row>
    <row r="11" spans="2:37" ht="15.6" thickTop="1" thickBot="1">
      <c r="B11" s="44" t="s">
        <v>91</v>
      </c>
      <c r="C11" s="54"/>
      <c r="D11" s="43">
        <f>MAX(0,2+D$7+(D$8&lt;=$C10)+(D$8&lt;=MAX($C10-18,0))+(D$8&lt;=MAX($C10-36,0))-D10)*NOT(ISBLANK($C10))</f>
        <v>0</v>
      </c>
      <c r="E11" s="43">
        <f t="shared" ref="E11:L11" si="3">MAX(0,2+E$7+(E$8&lt;=$C10)+(E$8&lt;=MAX($C10-18,0))+(E$8&lt;=MAX($C10-36,0))-E10)*NOT(ISBLANK($C10))</f>
        <v>0</v>
      </c>
      <c r="F11" s="43">
        <f t="shared" si="3"/>
        <v>0</v>
      </c>
      <c r="G11" s="43">
        <f t="shared" si="3"/>
        <v>0</v>
      </c>
      <c r="H11" s="43">
        <f t="shared" si="3"/>
        <v>0</v>
      </c>
      <c r="I11" s="43">
        <f t="shared" si="3"/>
        <v>0</v>
      </c>
      <c r="J11" s="43">
        <f t="shared" si="3"/>
        <v>0</v>
      </c>
      <c r="K11" s="43">
        <f t="shared" si="3"/>
        <v>0</v>
      </c>
      <c r="L11" s="43">
        <f t="shared" si="3"/>
        <v>0</v>
      </c>
      <c r="M11" s="43">
        <f t="shared" si="0"/>
        <v>0</v>
      </c>
      <c r="N11" s="43">
        <f t="shared" ref="N11:V11" si="4">MAX(0,2+N$7+(N$8&lt;=$C10)+(N$8&lt;=MAX($C10-18,0))+(N$8&lt;=MAX($C10-36,0))-N10)*NOT(ISBLANK($C10))</f>
        <v>0</v>
      </c>
      <c r="O11" s="43">
        <f t="shared" si="4"/>
        <v>0</v>
      </c>
      <c r="P11" s="43">
        <f t="shared" si="4"/>
        <v>0</v>
      </c>
      <c r="Q11" s="43">
        <f t="shared" si="4"/>
        <v>0</v>
      </c>
      <c r="R11" s="43">
        <f t="shared" si="4"/>
        <v>0</v>
      </c>
      <c r="S11" s="43">
        <f t="shared" si="4"/>
        <v>0</v>
      </c>
      <c r="T11" s="43">
        <f t="shared" si="4"/>
        <v>0</v>
      </c>
      <c r="U11" s="43">
        <f t="shared" si="4"/>
        <v>0</v>
      </c>
      <c r="V11" s="43">
        <f t="shared" si="4"/>
        <v>0</v>
      </c>
      <c r="W11" s="43">
        <f t="shared" si="1"/>
        <v>0</v>
      </c>
      <c r="X11" s="43">
        <f t="shared" si="2"/>
        <v>0</v>
      </c>
      <c r="Y11" s="80"/>
      <c r="Z11" s="105" cm="1">
        <f t="array" ref="Z11">_xlfn.IFS(
    AND(Z10 &gt;= 50, Z10 &lt;= 70), 70,
    AND(Z10 &gt;= 70, Z10 &lt;= 75), 50,
    AND(Z10 &gt;= 75, Z10 &lt;= 80), 40,
    AND(Z10 &gt;= 81, Z10 &lt;= 85), 35,
    AND(Z10 &gt;= 85, Z10 &lt;= 90), 30,
    AND(Z10 &gt;= 90, Z10 &lt;= 110), 25,
 AND(Z10 &gt;= 110),0
)</f>
        <v>0</v>
      </c>
      <c r="AA11" s="106">
        <f>SUMIF(D11:L11, "&gt;2")+SUMIF(N11:V11, "&gt;2")</f>
        <v>0</v>
      </c>
      <c r="AB11" s="128">
        <v>0</v>
      </c>
      <c r="AC11" s="128">
        <v>0</v>
      </c>
      <c r="AD11" s="128">
        <v>0</v>
      </c>
      <c r="AE11" s="107">
        <f>SUM(Z11:AD11)</f>
        <v>0</v>
      </c>
      <c r="AF11" s="116"/>
      <c r="AG11" s="11" t="s">
        <v>40</v>
      </c>
      <c r="AH11" s="12">
        <v>35</v>
      </c>
      <c r="AJ11" s="35"/>
      <c r="AK11" s="118"/>
    </row>
    <row r="12" spans="2:37" ht="15.6" thickTop="1" thickBot="1">
      <c r="B12" s="45" t="s">
        <v>14</v>
      </c>
      <c r="C12" s="55">
        <v>20</v>
      </c>
      <c r="D12" s="234">
        <v>10</v>
      </c>
      <c r="E12" s="234">
        <v>10</v>
      </c>
      <c r="F12" s="234">
        <v>10</v>
      </c>
      <c r="G12" s="234">
        <v>10</v>
      </c>
      <c r="H12" s="234">
        <v>10</v>
      </c>
      <c r="I12" s="234">
        <v>10</v>
      </c>
      <c r="J12" s="234">
        <v>10</v>
      </c>
      <c r="K12" s="234">
        <v>10</v>
      </c>
      <c r="L12" s="234">
        <v>10</v>
      </c>
      <c r="M12" s="46">
        <f t="shared" si="0"/>
        <v>90</v>
      </c>
      <c r="N12" s="234">
        <v>10</v>
      </c>
      <c r="O12" s="234">
        <v>10</v>
      </c>
      <c r="P12" s="234">
        <v>10</v>
      </c>
      <c r="Q12" s="234">
        <v>10</v>
      </c>
      <c r="R12" s="234">
        <v>10</v>
      </c>
      <c r="S12" s="234">
        <v>10</v>
      </c>
      <c r="T12" s="234">
        <v>10</v>
      </c>
      <c r="U12" s="234">
        <v>10</v>
      </c>
      <c r="V12" s="234">
        <v>10</v>
      </c>
      <c r="W12" s="46">
        <f t="shared" si="1"/>
        <v>90</v>
      </c>
      <c r="X12" s="126">
        <f t="shared" si="2"/>
        <v>180</v>
      </c>
      <c r="Y12" s="81">
        <f>X13</f>
        <v>0</v>
      </c>
      <c r="Z12" s="102">
        <f>X12-C12</f>
        <v>160</v>
      </c>
      <c r="AA12" s="103"/>
      <c r="AB12" s="103"/>
      <c r="AC12" s="103"/>
      <c r="AD12" s="103"/>
      <c r="AE12" s="104"/>
      <c r="AF12" s="116">
        <v>0</v>
      </c>
      <c r="AG12" s="11" t="s">
        <v>42</v>
      </c>
      <c r="AH12" s="12">
        <v>30</v>
      </c>
      <c r="AJ12" s="36"/>
      <c r="AK12" s="123"/>
    </row>
    <row r="13" spans="2:37" ht="15.6" thickTop="1" thickBot="1">
      <c r="B13" s="47" t="s">
        <v>91</v>
      </c>
      <c r="C13" s="55"/>
      <c r="D13" s="46">
        <f>MAX(0,2+D$7+(D$8&lt;=$C12)+(D$8&lt;=MAX($C12-18,0))+(D$8&lt;=MAX($C12-36,0))-D12)*NOT(ISBLANK($C12))</f>
        <v>0</v>
      </c>
      <c r="E13" s="46">
        <f t="shared" ref="E13:L13" si="5">MAX(0,2+E$7+(E$8&lt;=$C12)+(E$8&lt;=MAX($C12-18,0))+(E$8&lt;=MAX($C12-36,0))-E12)*NOT(ISBLANK($C12))</f>
        <v>0</v>
      </c>
      <c r="F13" s="46">
        <f t="shared" si="5"/>
        <v>0</v>
      </c>
      <c r="G13" s="46">
        <f t="shared" si="5"/>
        <v>0</v>
      </c>
      <c r="H13" s="46">
        <f t="shared" si="5"/>
        <v>0</v>
      </c>
      <c r="I13" s="46">
        <f t="shared" si="5"/>
        <v>0</v>
      </c>
      <c r="J13" s="46">
        <f t="shared" si="5"/>
        <v>0</v>
      </c>
      <c r="K13" s="46">
        <f t="shared" si="5"/>
        <v>0</v>
      </c>
      <c r="L13" s="46">
        <f t="shared" si="5"/>
        <v>0</v>
      </c>
      <c r="M13" s="46">
        <f t="shared" si="0"/>
        <v>0</v>
      </c>
      <c r="N13" s="46">
        <f t="shared" ref="N13:V13" si="6">MAX(0,2+N$7+(N$8&lt;=$C12)+(N$8&lt;=MAX($C12-18,0))+(N$8&lt;=MAX($C12-36,0))-N12)*NOT(ISBLANK($C12))</f>
        <v>0</v>
      </c>
      <c r="O13" s="46">
        <f t="shared" si="6"/>
        <v>0</v>
      </c>
      <c r="P13" s="46">
        <f t="shared" si="6"/>
        <v>0</v>
      </c>
      <c r="Q13" s="46">
        <f t="shared" si="6"/>
        <v>0</v>
      </c>
      <c r="R13" s="46">
        <f t="shared" si="6"/>
        <v>0</v>
      </c>
      <c r="S13" s="46">
        <f t="shared" si="6"/>
        <v>0</v>
      </c>
      <c r="T13" s="46">
        <f t="shared" si="6"/>
        <v>0</v>
      </c>
      <c r="U13" s="46">
        <f t="shared" si="6"/>
        <v>0</v>
      </c>
      <c r="V13" s="46">
        <f t="shared" si="6"/>
        <v>0</v>
      </c>
      <c r="W13" s="46">
        <f t="shared" si="1"/>
        <v>0</v>
      </c>
      <c r="X13" s="46">
        <f t="shared" si="2"/>
        <v>0</v>
      </c>
      <c r="Y13" s="81"/>
      <c r="Z13" s="99" cm="1">
        <f t="array" ref="Z13">_xlfn.IFS(
    AND(Z12 &gt;= 50, Z12 &lt;= 70), 70,
    AND(Z12 &gt;= 70, Z12 &lt;= 75), 50,
    AND(Z12 &gt;= 75, Z12 &lt;= 80), 40,
    AND(Z12 &gt;= 81, Z12 &lt;= 85), 35,
    AND(Z12 &gt;= 85, Z12 &lt;= 90), 30,
    AND(Z12 &gt;= 90, Z12 &lt;= 110), 25,
 AND(Z12 &gt;= 110),0
)</f>
        <v>0</v>
      </c>
      <c r="AA13" s="100">
        <f>SUMIF(D13:L13, "&gt;2")+SUMIF(N13:V13, "&gt;2")</f>
        <v>0</v>
      </c>
      <c r="AB13" s="128">
        <v>0</v>
      </c>
      <c r="AC13" s="128">
        <v>0</v>
      </c>
      <c r="AD13" s="128">
        <v>0</v>
      </c>
      <c r="AE13" s="101">
        <f>SUM(Z13:AD13)</f>
        <v>0</v>
      </c>
      <c r="AF13" s="116"/>
      <c r="AG13" s="13" t="s">
        <v>44</v>
      </c>
      <c r="AH13" s="14">
        <v>25</v>
      </c>
      <c r="AJ13" s="36"/>
      <c r="AK13" s="119"/>
    </row>
    <row r="14" spans="2:37" ht="15.6" thickTop="1" thickBot="1">
      <c r="B14" s="48" t="s">
        <v>12</v>
      </c>
      <c r="C14" s="56">
        <v>25</v>
      </c>
      <c r="D14" s="235">
        <v>10</v>
      </c>
      <c r="E14" s="235">
        <v>10</v>
      </c>
      <c r="F14" s="235">
        <v>10</v>
      </c>
      <c r="G14" s="235">
        <v>10</v>
      </c>
      <c r="H14" s="235">
        <v>10</v>
      </c>
      <c r="I14" s="235">
        <v>10</v>
      </c>
      <c r="J14" s="235">
        <v>10</v>
      </c>
      <c r="K14" s="235">
        <v>10</v>
      </c>
      <c r="L14" s="235">
        <v>10</v>
      </c>
      <c r="M14" s="49">
        <f t="shared" si="0"/>
        <v>90</v>
      </c>
      <c r="N14" s="235">
        <v>10</v>
      </c>
      <c r="O14" s="235">
        <v>10</v>
      </c>
      <c r="P14" s="235">
        <v>10</v>
      </c>
      <c r="Q14" s="235">
        <v>10</v>
      </c>
      <c r="R14" s="235">
        <v>10</v>
      </c>
      <c r="S14" s="235">
        <v>10</v>
      </c>
      <c r="T14" s="235">
        <v>10</v>
      </c>
      <c r="U14" s="235">
        <v>10</v>
      </c>
      <c r="V14" s="235">
        <v>10</v>
      </c>
      <c r="W14" s="49">
        <f t="shared" si="1"/>
        <v>90</v>
      </c>
      <c r="X14" s="125">
        <f t="shared" si="2"/>
        <v>180</v>
      </c>
      <c r="Y14" s="82">
        <f>X15</f>
        <v>0</v>
      </c>
      <c r="Z14" s="96">
        <f>X14-C14</f>
        <v>155</v>
      </c>
      <c r="AA14" s="97"/>
      <c r="AB14" s="97"/>
      <c r="AC14" s="97"/>
      <c r="AD14" s="97"/>
      <c r="AE14" s="98"/>
      <c r="AF14" s="116">
        <v>0</v>
      </c>
      <c r="AG14" s="15" t="s">
        <v>46</v>
      </c>
      <c r="AH14" s="16" t="s">
        <v>47</v>
      </c>
      <c r="AJ14" s="37"/>
      <c r="AK14" s="123"/>
    </row>
    <row r="15" spans="2:37" ht="15.6" thickTop="1" thickBot="1">
      <c r="B15" s="50" t="s">
        <v>91</v>
      </c>
      <c r="C15" s="56"/>
      <c r="D15" s="49">
        <f>MAX(0,2+D$7+(D$8&lt;=$C14)+(D$8&lt;=MAX($C14-18,0))+(D$8&lt;=MAX($C14-36,0))-D14)*NOT(ISBLANK($C14))</f>
        <v>0</v>
      </c>
      <c r="E15" s="49">
        <f t="shared" ref="E15:L15" si="7">MAX(0,2+E$7+(E$8&lt;=$C14)+(E$8&lt;=MAX($C14-18,0))+(E$8&lt;=MAX($C14-36,0))-E14)*NOT(ISBLANK($C14))</f>
        <v>0</v>
      </c>
      <c r="F15" s="49">
        <f t="shared" si="7"/>
        <v>0</v>
      </c>
      <c r="G15" s="49">
        <f t="shared" si="7"/>
        <v>0</v>
      </c>
      <c r="H15" s="49">
        <f t="shared" si="7"/>
        <v>0</v>
      </c>
      <c r="I15" s="49">
        <f t="shared" si="7"/>
        <v>0</v>
      </c>
      <c r="J15" s="49">
        <f t="shared" si="7"/>
        <v>0</v>
      </c>
      <c r="K15" s="49">
        <f t="shared" si="7"/>
        <v>0</v>
      </c>
      <c r="L15" s="49">
        <f t="shared" si="7"/>
        <v>0</v>
      </c>
      <c r="M15" s="49">
        <f t="shared" si="0"/>
        <v>0</v>
      </c>
      <c r="N15" s="49">
        <f t="shared" ref="N15:V15" si="8">MAX(0,2+N$7+(N$8&lt;=$C14)+(N$8&lt;=MAX($C14-18,0))+(N$8&lt;=MAX($C14-36,0))-N14)*NOT(ISBLANK($C14))</f>
        <v>0</v>
      </c>
      <c r="O15" s="49">
        <f t="shared" si="8"/>
        <v>0</v>
      </c>
      <c r="P15" s="49">
        <f t="shared" si="8"/>
        <v>0</v>
      </c>
      <c r="Q15" s="49">
        <f t="shared" si="8"/>
        <v>0</v>
      </c>
      <c r="R15" s="49">
        <f t="shared" si="8"/>
        <v>0</v>
      </c>
      <c r="S15" s="49">
        <f t="shared" si="8"/>
        <v>0</v>
      </c>
      <c r="T15" s="49">
        <f t="shared" si="8"/>
        <v>0</v>
      </c>
      <c r="U15" s="49">
        <f t="shared" si="8"/>
        <v>0</v>
      </c>
      <c r="V15" s="49">
        <f t="shared" si="8"/>
        <v>0</v>
      </c>
      <c r="W15" s="49">
        <f t="shared" si="1"/>
        <v>0</v>
      </c>
      <c r="X15" s="49">
        <f t="shared" si="2"/>
        <v>0</v>
      </c>
      <c r="Y15" s="82"/>
      <c r="Z15" s="93" cm="1">
        <f t="array" ref="Z15">_xlfn.IFS(
    AND(Z14 &gt;= 50, Z14 &lt;= 70), 70,
    AND(Z14 &gt;= 70, Z14 &lt;= 75), 50,
    AND(Z14 &gt;= 75, Z14 &lt;= 80), 40,
    AND(Z14 &gt;= 81, Z14 &lt;= 85), 35,
    AND(Z14 &gt;= 85, Z14 &lt;= 90), 30,
    AND(Z14 &gt;= 90, Z14 &lt;= 110), 25,
 AND(Z14 &gt;= 110),0
)</f>
        <v>0</v>
      </c>
      <c r="AA15" s="94">
        <f>SUMIF(D15:L15, "&gt;2")+SUMIF(N15:V15, "&gt;2")</f>
        <v>0</v>
      </c>
      <c r="AB15" s="128">
        <v>0</v>
      </c>
      <c r="AC15" s="128">
        <v>0</v>
      </c>
      <c r="AD15" s="128">
        <v>0</v>
      </c>
      <c r="AE15" s="95">
        <f>SUM(Z15:AD15)</f>
        <v>0</v>
      </c>
      <c r="AF15" s="116"/>
      <c r="AG15" s="9" t="s">
        <v>49</v>
      </c>
      <c r="AH15" s="10">
        <v>5</v>
      </c>
      <c r="AJ15" s="37"/>
      <c r="AK15" s="120"/>
    </row>
    <row r="16" spans="2:37" ht="15.6" thickTop="1" thickBot="1">
      <c r="B16" s="51" t="s">
        <v>11</v>
      </c>
      <c r="C16" s="57">
        <v>18</v>
      </c>
      <c r="D16" s="236">
        <v>10</v>
      </c>
      <c r="E16" s="236">
        <v>10</v>
      </c>
      <c r="F16" s="236">
        <v>10</v>
      </c>
      <c r="G16" s="236">
        <v>10</v>
      </c>
      <c r="H16" s="236">
        <v>10</v>
      </c>
      <c r="I16" s="236">
        <v>10</v>
      </c>
      <c r="J16" s="236">
        <v>10</v>
      </c>
      <c r="K16" s="236">
        <v>10</v>
      </c>
      <c r="L16" s="236">
        <v>10</v>
      </c>
      <c r="M16" s="52">
        <f t="shared" si="0"/>
        <v>90</v>
      </c>
      <c r="N16" s="236">
        <v>10</v>
      </c>
      <c r="O16" s="236">
        <v>10</v>
      </c>
      <c r="P16" s="236">
        <v>10</v>
      </c>
      <c r="Q16" s="236">
        <v>10</v>
      </c>
      <c r="R16" s="236">
        <v>10</v>
      </c>
      <c r="S16" s="236">
        <v>10</v>
      </c>
      <c r="T16" s="236">
        <v>10</v>
      </c>
      <c r="U16" s="236">
        <v>10</v>
      </c>
      <c r="V16" s="236">
        <v>10</v>
      </c>
      <c r="W16" s="52">
        <f t="shared" si="1"/>
        <v>90</v>
      </c>
      <c r="X16" s="124">
        <f t="shared" si="2"/>
        <v>180</v>
      </c>
      <c r="Y16" s="83">
        <f t="shared" ref="Y16" si="9">X17</f>
        <v>0</v>
      </c>
      <c r="Z16" s="90">
        <f>X16-C16</f>
        <v>162</v>
      </c>
      <c r="AA16" s="91"/>
      <c r="AB16" s="91"/>
      <c r="AC16" s="91"/>
      <c r="AD16" s="91"/>
      <c r="AE16" s="92"/>
      <c r="AF16" s="116">
        <v>0</v>
      </c>
      <c r="AG16" s="11" t="s">
        <v>51</v>
      </c>
      <c r="AH16" s="12">
        <v>5</v>
      </c>
    </row>
    <row r="17" spans="2:34" ht="15.6" thickTop="1" thickBot="1">
      <c r="B17" s="53" t="s">
        <v>91</v>
      </c>
      <c r="C17" s="57"/>
      <c r="D17" s="52">
        <f t="shared" ref="D17:L17" si="10">MAX(0,2+D$7+(D$8&lt;=$C16)+(D$8&lt;=MAX($C16-18,0))+(D$8&lt;=MAX($C16-36,0))-D16)*NOT(ISBLANK($C16))</f>
        <v>0</v>
      </c>
      <c r="E17" s="52">
        <f t="shared" si="10"/>
        <v>0</v>
      </c>
      <c r="F17" s="52">
        <f t="shared" si="10"/>
        <v>0</v>
      </c>
      <c r="G17" s="52">
        <f t="shared" si="10"/>
        <v>0</v>
      </c>
      <c r="H17" s="52">
        <f t="shared" si="10"/>
        <v>0</v>
      </c>
      <c r="I17" s="52">
        <f t="shared" si="10"/>
        <v>0</v>
      </c>
      <c r="J17" s="52">
        <f t="shared" si="10"/>
        <v>0</v>
      </c>
      <c r="K17" s="52">
        <f t="shared" si="10"/>
        <v>0</v>
      </c>
      <c r="L17" s="52">
        <f t="shared" si="10"/>
        <v>0</v>
      </c>
      <c r="M17" s="52">
        <f t="shared" si="0"/>
        <v>0</v>
      </c>
      <c r="N17" s="52">
        <f t="shared" ref="N17:V17" si="11">MAX(0,2+N$7+(N$8&lt;=$C16)+(N$8&lt;=MAX($C16-18,0))+(N$8&lt;=MAX($C16-36,0))-N16)*NOT(ISBLANK($C16))</f>
        <v>0</v>
      </c>
      <c r="O17" s="52">
        <f t="shared" si="11"/>
        <v>0</v>
      </c>
      <c r="P17" s="52">
        <f t="shared" si="11"/>
        <v>0</v>
      </c>
      <c r="Q17" s="52">
        <f t="shared" si="11"/>
        <v>0</v>
      </c>
      <c r="R17" s="52">
        <f t="shared" si="11"/>
        <v>0</v>
      </c>
      <c r="S17" s="52">
        <f t="shared" si="11"/>
        <v>0</v>
      </c>
      <c r="T17" s="52">
        <f t="shared" si="11"/>
        <v>0</v>
      </c>
      <c r="U17" s="52">
        <f t="shared" si="11"/>
        <v>0</v>
      </c>
      <c r="V17" s="52">
        <f t="shared" si="11"/>
        <v>0</v>
      </c>
      <c r="W17" s="52">
        <f t="shared" si="1"/>
        <v>0</v>
      </c>
      <c r="X17" s="52">
        <f t="shared" si="2"/>
        <v>0</v>
      </c>
      <c r="Y17" s="83"/>
      <c r="Z17" s="87" cm="1">
        <f t="array" ref="Z17">_xlfn.IFS(
    AND(Z16 &gt;= 50, Z16 &lt;= 70), 70,
    AND(Z16 &gt;= 70, Z16 &lt;= 75), 50,
    AND(Z16 &gt;= 75, Z16 &lt;= 80), 40,
    AND(Z16 &gt;= 81, Z16 &lt;= 85), 35,
    AND(Z16 &gt;= 85, Z16 &lt;= 90), 30,
    AND(Z16 &gt;= 90, Z16 &lt;= 110), 25,
 AND(Z16 &gt;= 110),0
)</f>
        <v>0</v>
      </c>
      <c r="AA17" s="88">
        <f>SUMIF(D17:L17, "&gt;2")+SUMIF(N17:V17, "&gt;2")</f>
        <v>0</v>
      </c>
      <c r="AB17" s="128">
        <v>0</v>
      </c>
      <c r="AC17" s="128">
        <v>0</v>
      </c>
      <c r="AD17" s="128">
        <v>0</v>
      </c>
      <c r="AE17" s="89">
        <f>SUM(Z17:AD17)</f>
        <v>0</v>
      </c>
      <c r="AF17" s="116"/>
      <c r="AG17" s="17" t="s">
        <v>4</v>
      </c>
      <c r="AH17" s="18">
        <v>10</v>
      </c>
    </row>
    <row r="18" spans="2:34" ht="15" thickTop="1"/>
    <row r="20" spans="2:34" ht="15" thickBot="1">
      <c r="C20" s="2"/>
      <c r="O20" s="8"/>
    </row>
    <row r="21" spans="2:34" ht="15.6" thickTop="1" thickBot="1">
      <c r="B21" s="78" t="s">
        <v>92</v>
      </c>
      <c r="C21" s="46">
        <v>73</v>
      </c>
      <c r="O21" s="8"/>
    </row>
    <row r="22" spans="2:34" ht="15.6" thickTop="1" thickBot="1">
      <c r="B22" s="78" t="s">
        <v>93</v>
      </c>
      <c r="C22" s="46">
        <v>135</v>
      </c>
      <c r="O22" s="8"/>
    </row>
    <row r="23" spans="2:34" ht="15.6" thickTop="1" thickBot="1">
      <c r="B23" s="78" t="s">
        <v>88</v>
      </c>
      <c r="C23" s="46">
        <v>72</v>
      </c>
      <c r="O23" s="8"/>
    </row>
    <row r="24" spans="2:34" ht="15" thickTop="1">
      <c r="O24" s="8"/>
    </row>
    <row r="25" spans="2:34">
      <c r="O25" s="8"/>
    </row>
    <row r="26" spans="2:34">
      <c r="O26" s="8"/>
    </row>
    <row r="27" spans="2:34">
      <c r="O27" s="8"/>
    </row>
    <row r="28" spans="2:34">
      <c r="O28" s="8"/>
    </row>
  </sheetData>
  <mergeCells count="2">
    <mergeCell ref="C4:AE4"/>
    <mergeCell ref="C5:AE5"/>
  </mergeCells>
  <conditionalFormatting sqref="D11:V11">
    <cfRule type="cellIs" dxfId="1" priority="2" operator="between">
      <formula>3</formula>
      <formula>5</formula>
    </cfRule>
  </conditionalFormatting>
  <conditionalFormatting sqref="D13:V13 D15:V15 D17:V17">
    <cfRule type="cellIs" dxfId="0" priority="1" operator="between">
      <formula>3</formula>
      <formula>5</formula>
    </cfRule>
  </conditionalFormatting>
  <pageMargins left="0.7" right="0.7" top="0.75" bottom="0.75" header="0.3" footer="0.3"/>
  <headerFooter>
    <oddFooter>&amp;C_x000D_&amp;1#&amp;"Calibri"&amp;10&amp;K000000 OFFICIAL</oddFooter>
  </headerFooter>
</worksheet>
</file>

<file path=docMetadata/LabelInfo.xml><?xml version="1.0" encoding="utf-8"?>
<clbl:labelList xmlns:clbl="http://schemas.microsoft.com/office/2020/mipLabelMetadata">
  <clbl:label id="{83709595-deb9-4ceb-bf06-8305974a2062}" enabled="1" method="Privileged" siteId="{cb356782-ad9a-47fb-878b-7ebceb85b8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Dawes</dc:creator>
  <cp:keywords/>
  <dc:description/>
  <cp:lastModifiedBy>Mitchell Thompson</cp:lastModifiedBy>
  <cp:revision/>
  <dcterms:created xsi:type="dcterms:W3CDTF">2022-03-08T00:25:10Z</dcterms:created>
  <dcterms:modified xsi:type="dcterms:W3CDTF">2026-06-11T02:01:12Z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709595-deb9-4ceb-bf06-8305974a2062_Enabled">
    <vt:lpwstr>true</vt:lpwstr>
  </property>
  <property fmtid="{D5CDD505-2E9C-101B-9397-08002B2CF9AE}" pid="3" name="MSIP_Label_83709595-deb9-4ceb-bf06-8305974a2062_SetDate">
    <vt:lpwstr>2024-09-24T11:11:43Z</vt:lpwstr>
  </property>
  <property fmtid="{D5CDD505-2E9C-101B-9397-08002B2CF9AE}" pid="4" name="MSIP_Label_83709595-deb9-4ceb-bf06-8305974a2062_Method">
    <vt:lpwstr>Privileged</vt:lpwstr>
  </property>
  <property fmtid="{D5CDD505-2E9C-101B-9397-08002B2CF9AE}" pid="5" name="MSIP_Label_83709595-deb9-4ceb-bf06-8305974a2062_Name">
    <vt:lpwstr>Official</vt:lpwstr>
  </property>
  <property fmtid="{D5CDD505-2E9C-101B-9397-08002B2CF9AE}" pid="6" name="MSIP_Label_83709595-deb9-4ceb-bf06-8305974a2062_SiteId">
    <vt:lpwstr>cb356782-ad9a-47fb-878b-7ebceb85b86c</vt:lpwstr>
  </property>
  <property fmtid="{D5CDD505-2E9C-101B-9397-08002B2CF9AE}" pid="7" name="MSIP_Label_83709595-deb9-4ceb-bf06-8305974a2062_ActionId">
    <vt:lpwstr>154f2f89-f0fa-4401-b0d5-16c129117b43</vt:lpwstr>
  </property>
  <property fmtid="{D5CDD505-2E9C-101B-9397-08002B2CF9AE}" pid="8" name="MSIP_Label_83709595-deb9-4ceb-bf06-8305974a2062_ContentBits">
    <vt:lpwstr>2</vt:lpwstr>
  </property>
  <property fmtid="{D5CDD505-2E9C-101B-9397-08002B2CF9AE}" pid="9" name="Folder_Number">
    <vt:lpwstr/>
  </property>
  <property fmtid="{D5CDD505-2E9C-101B-9397-08002B2CF9AE}" pid="10" name="Folder_Code">
    <vt:lpwstr/>
  </property>
  <property fmtid="{D5CDD505-2E9C-101B-9397-08002B2CF9AE}" pid="11" name="Folder_Name">
    <vt:lpwstr/>
  </property>
  <property fmtid="{D5CDD505-2E9C-101B-9397-08002B2CF9AE}" pid="12" name="Folder_Description">
    <vt:lpwstr/>
  </property>
  <property fmtid="{D5CDD505-2E9C-101B-9397-08002B2CF9AE}" pid="13" name="/Folder_Name/">
    <vt:lpwstr/>
  </property>
  <property fmtid="{D5CDD505-2E9C-101B-9397-08002B2CF9AE}" pid="14" name="/Folder_Description/">
    <vt:lpwstr/>
  </property>
  <property fmtid="{D5CDD505-2E9C-101B-9397-08002B2CF9AE}" pid="15" name="Folder_Version">
    <vt:lpwstr/>
  </property>
  <property fmtid="{D5CDD505-2E9C-101B-9397-08002B2CF9AE}" pid="16" name="Folder_VersionSeq">
    <vt:lpwstr/>
  </property>
  <property fmtid="{D5CDD505-2E9C-101B-9397-08002B2CF9AE}" pid="17" name="Folder_Manager">
    <vt:lpwstr/>
  </property>
  <property fmtid="{D5CDD505-2E9C-101B-9397-08002B2CF9AE}" pid="18" name="Folder_ManagerDesc">
    <vt:lpwstr/>
  </property>
  <property fmtid="{D5CDD505-2E9C-101B-9397-08002B2CF9AE}" pid="19" name="Folder_Storage">
    <vt:lpwstr/>
  </property>
  <property fmtid="{D5CDD505-2E9C-101B-9397-08002B2CF9AE}" pid="20" name="Folder_StorageDesc">
    <vt:lpwstr/>
  </property>
  <property fmtid="{D5CDD505-2E9C-101B-9397-08002B2CF9AE}" pid="21" name="Folder_Creator">
    <vt:lpwstr/>
  </property>
  <property fmtid="{D5CDD505-2E9C-101B-9397-08002B2CF9AE}" pid="22" name="Folder_CreatorDesc">
    <vt:lpwstr/>
  </property>
  <property fmtid="{D5CDD505-2E9C-101B-9397-08002B2CF9AE}" pid="23" name="Folder_CreateDate">
    <vt:lpwstr/>
  </property>
  <property fmtid="{D5CDD505-2E9C-101B-9397-08002B2CF9AE}" pid="24" name="Folder_Updater">
    <vt:lpwstr/>
  </property>
  <property fmtid="{D5CDD505-2E9C-101B-9397-08002B2CF9AE}" pid="25" name="Folder_UpdaterDesc">
    <vt:lpwstr/>
  </property>
  <property fmtid="{D5CDD505-2E9C-101B-9397-08002B2CF9AE}" pid="26" name="Folder_UpdateDate">
    <vt:lpwstr/>
  </property>
  <property fmtid="{D5CDD505-2E9C-101B-9397-08002B2CF9AE}" pid="27" name="Document_Number">
    <vt:lpwstr/>
  </property>
  <property fmtid="{D5CDD505-2E9C-101B-9397-08002B2CF9AE}" pid="28" name="Document_Name">
    <vt:lpwstr/>
  </property>
  <property fmtid="{D5CDD505-2E9C-101B-9397-08002B2CF9AE}" pid="29" name="Document_FileName">
    <vt:lpwstr/>
  </property>
  <property fmtid="{D5CDD505-2E9C-101B-9397-08002B2CF9AE}" pid="30" name="Document_Version">
    <vt:lpwstr/>
  </property>
  <property fmtid="{D5CDD505-2E9C-101B-9397-08002B2CF9AE}" pid="31" name="Document_VersionSeq">
    <vt:lpwstr/>
  </property>
  <property fmtid="{D5CDD505-2E9C-101B-9397-08002B2CF9AE}" pid="32" name="Document_Creator">
    <vt:lpwstr/>
  </property>
  <property fmtid="{D5CDD505-2E9C-101B-9397-08002B2CF9AE}" pid="33" name="Document_CreatorDesc">
    <vt:lpwstr/>
  </property>
  <property fmtid="{D5CDD505-2E9C-101B-9397-08002B2CF9AE}" pid="34" name="Document_CreateDate">
    <vt:lpwstr/>
  </property>
  <property fmtid="{D5CDD505-2E9C-101B-9397-08002B2CF9AE}" pid="35" name="Document_Updater">
    <vt:lpwstr/>
  </property>
  <property fmtid="{D5CDD505-2E9C-101B-9397-08002B2CF9AE}" pid="36" name="Document_UpdaterDesc">
    <vt:lpwstr/>
  </property>
  <property fmtid="{D5CDD505-2E9C-101B-9397-08002B2CF9AE}" pid="37" name="Document_UpdateDate">
    <vt:lpwstr/>
  </property>
  <property fmtid="{D5CDD505-2E9C-101B-9397-08002B2CF9AE}" pid="38" name="Document_Size">
    <vt:lpwstr/>
  </property>
  <property fmtid="{D5CDD505-2E9C-101B-9397-08002B2CF9AE}" pid="39" name="Document_Storage">
    <vt:lpwstr/>
  </property>
  <property fmtid="{D5CDD505-2E9C-101B-9397-08002B2CF9AE}" pid="40" name="Document_StorageDesc">
    <vt:lpwstr/>
  </property>
  <property fmtid="{D5CDD505-2E9C-101B-9397-08002B2CF9AE}" pid="41" name="Document_Department">
    <vt:lpwstr/>
  </property>
  <property fmtid="{D5CDD505-2E9C-101B-9397-08002B2CF9AE}" pid="42" name="Document_DepartmentDesc">
    <vt:lpwstr/>
  </property>
</Properties>
</file>